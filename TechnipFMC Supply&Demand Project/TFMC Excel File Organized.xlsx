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6"/>
  <workbookPr hidePivotFieldList="1" defaultThemeVersion="124226"/>
  <mc:AlternateContent xmlns:mc="http://schemas.openxmlformats.org/markup-compatibility/2006">
    <mc:Choice Requires="x15">
      <x15ac:absPath xmlns:x15ac="http://schemas.microsoft.com/office/spreadsheetml/2010/11/ac" url="/Users/shahadalghamdi/Desktop/All My Scool Projects/TechnipFMC Supply&amp;Demand Project/"/>
    </mc:Choice>
  </mc:AlternateContent>
  <xr:revisionPtr revIDLastSave="0" documentId="13_ncr:1_{F06A45B1-A0A9-B245-BD47-B529242B7984}" xr6:coauthVersionLast="47" xr6:coauthVersionMax="47" xr10:uidLastSave="{00000000-0000-0000-0000-000000000000}"/>
  <bookViews>
    <workbookView xWindow="0" yWindow="500" windowWidth="28800" windowHeight="15840" tabRatio="684" firstSheet="1" activeTab="2" xr2:uid="{00000000-000D-0000-FFFF-FFFF00000000}"/>
  </bookViews>
  <sheets>
    <sheet name="Sheet1" sheetId="14" r:id="rId1"/>
    <sheet name="Cost Breakdown" sheetId="17" r:id="rId2"/>
    <sheet name="Pricing Scheme" sheetId="15" r:id="rId3"/>
    <sheet name="Exhibit 0 (Schedule)" sheetId="11" r:id="rId4"/>
    <sheet name="Sheet5" sheetId="21" r:id="rId5"/>
    <sheet name="Sheet6" sheetId="22" r:id="rId6"/>
    <sheet name="Sheet3" sheetId="19" r:id="rId7"/>
    <sheet name="Cost Calculator For Supplier" sheetId="12" r:id="rId8"/>
    <sheet name="Full schedule" sheetId="16" r:id="rId9"/>
    <sheet name="Exhibit 2 (QSL)" sheetId="3" r:id="rId10"/>
    <sheet name="Lead Times Supplier" sheetId="13" r:id="rId11"/>
    <sheet name="Exhibit 6 (Transit Time)" sheetId="7" r:id="rId12"/>
    <sheet name="Exhibit 5 (Bids)" sheetId="8" r:id="rId13"/>
    <sheet name="Exhibit 3 (Discounts)" sheetId="2" r:id="rId14"/>
    <sheet name="Exhibit 1 (Cost &amp; Capacity)" sheetId="1" r:id="rId15"/>
    <sheet name="Exhibit 4 (SPI)" sheetId="4" r:id="rId16"/>
    <sheet name="Sheet2" sheetId="18" r:id="rId17"/>
  </sheets>
  <definedNames>
    <definedName name="_xlnm._FilterDatabase" localSheetId="9" hidden="1">'Exhibit 2 (QSL)'!$A$3:$H$3</definedName>
    <definedName name="_xlnm._FilterDatabase" localSheetId="12" hidden="1">'Exhibit 5 (Bids)'!$A$4:$G$15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 i="15" l="1"/>
  <c r="Q5" i="15"/>
  <c r="Q4" i="15"/>
  <c r="M20" i="15"/>
  <c r="J23" i="15"/>
  <c r="P3" i="19"/>
  <c r="O3" i="19"/>
  <c r="P5" i="19"/>
  <c r="O5" i="19"/>
  <c r="N5" i="19"/>
  <c r="M5" i="19"/>
  <c r="N3" i="19"/>
  <c r="M3" i="19"/>
  <c r="P4" i="19"/>
  <c r="O4" i="19"/>
  <c r="N4" i="19"/>
  <c r="M4" i="19"/>
  <c r="U14" i="15"/>
  <c r="U11" i="15"/>
  <c r="U10" i="15"/>
  <c r="U5" i="15"/>
  <c r="U4" i="15"/>
  <c r="R10" i="15"/>
  <c r="J25" i="15"/>
  <c r="L5" i="15"/>
  <c r="L4" i="15"/>
  <c r="L10" i="15"/>
  <c r="L11" i="15"/>
  <c r="J11" i="3"/>
  <c r="P25" i="15"/>
  <c r="J20" i="15"/>
  <c r="B64" i="12"/>
  <c r="K5" i="3"/>
  <c r="K6" i="3"/>
  <c r="K7" i="3"/>
  <c r="K8" i="3"/>
  <c r="K9" i="3"/>
  <c r="K10" i="3"/>
  <c r="K11" i="3"/>
  <c r="K12" i="3"/>
  <c r="K13" i="3"/>
  <c r="K14" i="3"/>
  <c r="K4" i="3"/>
  <c r="AK49" i="11"/>
  <c r="AL49" i="11"/>
  <c r="AL34" i="11"/>
  <c r="AL32" i="11"/>
  <c r="J4" i="3"/>
  <c r="J14" i="3"/>
  <c r="J12" i="3"/>
  <c r="J5" i="3"/>
  <c r="J8" i="3"/>
  <c r="J13" i="3"/>
  <c r="J7" i="3"/>
  <c r="J6" i="3"/>
  <c r="J10" i="3"/>
  <c r="J9" i="3"/>
  <c r="E18" i="1"/>
  <c r="AE34" i="11"/>
  <c r="AK63" i="11"/>
  <c r="AL63" i="11" s="1"/>
  <c r="AG55" i="11"/>
  <c r="AK55" i="11"/>
  <c r="AK48" i="11"/>
  <c r="AE33" i="11"/>
  <c r="AE32" i="11"/>
  <c r="AO4" i="11"/>
  <c r="K4" i="1"/>
  <c r="Z29" i="11"/>
  <c r="Z28" i="11"/>
  <c r="Z27" i="11"/>
  <c r="Z26" i="11"/>
  <c r="X29" i="11"/>
  <c r="X27" i="11"/>
  <c r="X28" i="11"/>
  <c r="Y28" i="11"/>
  <c r="Y26" i="11"/>
  <c r="W29" i="11"/>
  <c r="AA29" i="11" s="1"/>
  <c r="W28" i="11"/>
  <c r="AA28" i="11" s="1"/>
  <c r="W27" i="11"/>
  <c r="AA27" i="11" s="1"/>
  <c r="W26" i="11"/>
  <c r="AA26" i="11" s="1"/>
  <c r="AC2" i="13"/>
  <c r="AN25" i="11"/>
  <c r="AO25" i="11"/>
  <c r="AN26" i="11"/>
  <c r="AC9" i="13"/>
  <c r="AD9" i="13"/>
  <c r="AE9" i="13"/>
  <c r="AF9" i="13"/>
  <c r="AG9" i="13"/>
  <c r="AE10" i="13"/>
  <c r="AG10" i="13"/>
  <c r="AD10" i="13"/>
  <c r="AD8" i="13"/>
  <c r="AE8" i="13"/>
  <c r="AF8" i="13"/>
  <c r="AG8" i="13"/>
  <c r="AE11" i="13"/>
  <c r="AG11" i="13"/>
  <c r="AD11" i="13"/>
  <c r="AC8" i="13"/>
  <c r="AG7" i="13"/>
  <c r="AE7" i="13"/>
  <c r="AD12" i="13"/>
  <c r="AF12" i="13"/>
  <c r="AC12" i="13"/>
  <c r="AD7" i="13"/>
  <c r="AG6" i="13"/>
  <c r="AE6" i="13"/>
  <c r="AD6" i="13"/>
  <c r="AD5" i="13"/>
  <c r="AE5" i="13"/>
  <c r="AF5" i="13"/>
  <c r="AG5" i="13"/>
  <c r="AC5" i="13"/>
  <c r="AD4" i="13"/>
  <c r="AF4" i="13"/>
  <c r="AG4" i="13"/>
  <c r="AC4" i="13"/>
  <c r="AD3" i="13"/>
  <c r="AF3" i="13"/>
  <c r="AG3" i="13"/>
  <c r="AC3" i="13"/>
  <c r="AD2" i="13"/>
  <c r="AE2" i="13"/>
  <c r="AF2" i="13"/>
  <c r="AG2" i="13"/>
  <c r="B95" i="11"/>
  <c r="B96" i="11"/>
  <c r="B112" i="11"/>
  <c r="B111" i="11"/>
  <c r="B110" i="11"/>
  <c r="C51" i="11"/>
  <c r="C50" i="11"/>
  <c r="C49" i="11"/>
  <c r="B69" i="11"/>
  <c r="B68" i="11"/>
  <c r="B67" i="11"/>
  <c r="J31" i="8"/>
  <c r="K27" i="8"/>
  <c r="J29" i="8"/>
  <c r="B31" i="12"/>
  <c r="J22" i="11"/>
  <c r="F21" i="11"/>
  <c r="G21" i="11" s="1"/>
  <c r="E20" i="11"/>
  <c r="F20" i="11" s="1"/>
  <c r="G20" i="11" s="1"/>
  <c r="H20" i="11" s="1"/>
  <c r="H16" i="12"/>
  <c r="H17" i="12"/>
  <c r="H18" i="12"/>
  <c r="H19" i="12"/>
  <c r="H15" i="12"/>
  <c r="Z95" i="12"/>
  <c r="Z94" i="12"/>
  <c r="AA94" i="12" s="1"/>
  <c r="Z93" i="12"/>
  <c r="AA93" i="12" s="1"/>
  <c r="Z92" i="12"/>
  <c r="Z91" i="12"/>
  <c r="AA95" i="12"/>
  <c r="AA92" i="12"/>
  <c r="AA91" i="12"/>
  <c r="Z80" i="12"/>
  <c r="Z79" i="12"/>
  <c r="Z78" i="12"/>
  <c r="AA78" i="12" s="1"/>
  <c r="Z77" i="12"/>
  <c r="Z76" i="12"/>
  <c r="AA80" i="12"/>
  <c r="AA79" i="12"/>
  <c r="AA77" i="12"/>
  <c r="AA76" i="12"/>
  <c r="Z64" i="12"/>
  <c r="Z63" i="12"/>
  <c r="AA63" i="12" s="1"/>
  <c r="Z65" i="12"/>
  <c r="Z62" i="12"/>
  <c r="AA62" i="12" s="1"/>
  <c r="Z61" i="12"/>
  <c r="AA61" i="12" s="1"/>
  <c r="AA65" i="12"/>
  <c r="AA64" i="12"/>
  <c r="Z50" i="12"/>
  <c r="AA50" i="12" s="1"/>
  <c r="Z49" i="12"/>
  <c r="Z48" i="12"/>
  <c r="AA48" i="12" s="1"/>
  <c r="Z47" i="12"/>
  <c r="Z46" i="12"/>
  <c r="AA46" i="12" s="1"/>
  <c r="AA49" i="12"/>
  <c r="AA47" i="12"/>
  <c r="Z41" i="12"/>
  <c r="Z35" i="12"/>
  <c r="Z34" i="12"/>
  <c r="AA34" i="12" s="1"/>
  <c r="Z33" i="12"/>
  <c r="Z32" i="12"/>
  <c r="AA32" i="12" s="1"/>
  <c r="Z31" i="12"/>
  <c r="AA31" i="12" s="1"/>
  <c r="AA35" i="12"/>
  <c r="AA33" i="12"/>
  <c r="B110" i="12"/>
  <c r="B109" i="12"/>
  <c r="B108" i="12"/>
  <c r="C108" i="12" s="1"/>
  <c r="B107" i="12"/>
  <c r="C107" i="12" s="1"/>
  <c r="B106" i="12"/>
  <c r="C106" i="12" s="1"/>
  <c r="C110" i="12"/>
  <c r="C109" i="12"/>
  <c r="C94" i="12"/>
  <c r="C91" i="12"/>
  <c r="C62" i="12"/>
  <c r="C61" i="12"/>
  <c r="B95" i="12"/>
  <c r="C95" i="12" s="1"/>
  <c r="B94" i="12"/>
  <c r="B93" i="12"/>
  <c r="C93" i="12" s="1"/>
  <c r="B92" i="12"/>
  <c r="C92" i="12" s="1"/>
  <c r="B91" i="12"/>
  <c r="B80" i="12"/>
  <c r="C80" i="12" s="1"/>
  <c r="B79" i="12"/>
  <c r="C79" i="12" s="1"/>
  <c r="B78" i="12"/>
  <c r="C78" i="12" s="1"/>
  <c r="B77" i="12"/>
  <c r="C77" i="12" s="1"/>
  <c r="B76" i="12"/>
  <c r="C76" i="12" s="1"/>
  <c r="B65" i="12"/>
  <c r="C65" i="12" s="1"/>
  <c r="C64" i="12"/>
  <c r="B63" i="12"/>
  <c r="C63" i="12" s="1"/>
  <c r="B62" i="12"/>
  <c r="B61" i="12"/>
  <c r="B50" i="12"/>
  <c r="C50" i="12" s="1"/>
  <c r="B49" i="12"/>
  <c r="C49" i="12" s="1"/>
  <c r="B48" i="12"/>
  <c r="C48" i="12" s="1"/>
  <c r="B47" i="12"/>
  <c r="C47" i="12" s="1"/>
  <c r="B46" i="12"/>
  <c r="C46" i="12" s="1"/>
  <c r="C32" i="12"/>
  <c r="C31" i="12"/>
  <c r="B35" i="12"/>
  <c r="C35" i="12" s="1"/>
  <c r="B34" i="12"/>
  <c r="C34" i="12" s="1"/>
  <c r="B33" i="12"/>
  <c r="C33" i="12" s="1"/>
  <c r="B32" i="12"/>
  <c r="E24" i="12"/>
  <c r="L20" i="3"/>
  <c r="H20" i="3"/>
  <c r="I20" i="3" s="1"/>
  <c r="J20" i="3" s="1"/>
  <c r="E20" i="3"/>
  <c r="D20" i="3" s="1"/>
  <c r="F20" i="3" s="1"/>
  <c r="L6" i="4"/>
  <c r="H6" i="4"/>
  <c r="I6" i="4" s="1"/>
  <c r="J6" i="4" s="1"/>
  <c r="M23" i="15" l="1"/>
  <c r="P23" i="15" s="1"/>
  <c r="P20" i="15"/>
  <c r="P29" i="15" s="1"/>
  <c r="AF34" i="11"/>
  <c r="AH34" i="11" s="1"/>
  <c r="AN32" i="11"/>
  <c r="AM32" i="11"/>
  <c r="AO32" i="11" s="1"/>
  <c r="AQ32" i="11" s="1"/>
  <c r="AN34" i="11"/>
  <c r="AM34" i="11"/>
  <c r="AO34" i="11" s="1"/>
  <c r="AM49" i="11"/>
  <c r="AN49" i="11" s="1"/>
  <c r="AN63" i="11"/>
  <c r="AL55" i="11"/>
  <c r="AN55" i="11" s="1"/>
  <c r="AM48" i="11"/>
  <c r="AL48" i="11"/>
  <c r="AN48" i="11" s="1"/>
  <c r="AN69" i="11" s="1"/>
  <c r="AN72" i="11" s="1"/>
  <c r="AP25" i="11"/>
  <c r="AP4" i="11"/>
  <c r="AQ4" i="11" s="1"/>
  <c r="AF32" i="11"/>
  <c r="AH32" i="11" s="1"/>
  <c r="AF33" i="11"/>
  <c r="AH33" i="11" s="1"/>
  <c r="E97" i="12"/>
  <c r="B101" i="12" s="1"/>
  <c r="H21" i="11"/>
  <c r="AC97" i="12"/>
  <c r="AC82" i="12"/>
  <c r="AC67" i="12"/>
  <c r="AC52" i="12"/>
  <c r="AC37" i="12"/>
  <c r="E112" i="12"/>
  <c r="B116" i="12" s="1"/>
  <c r="E82" i="12"/>
  <c r="E67" i="12"/>
  <c r="B71" i="12" s="1"/>
  <c r="E37" i="12"/>
  <c r="E52" i="12"/>
  <c r="M20" i="3"/>
  <c r="E6" i="4"/>
  <c r="D6" i="4" s="1"/>
  <c r="B56" i="12" l="1"/>
  <c r="I21" i="11"/>
  <c r="J21" i="11" s="1"/>
  <c r="K21" i="11" s="1"/>
  <c r="B41" i="12"/>
  <c r="E40" i="12"/>
  <c r="Z101" i="12"/>
  <c r="Z86" i="12"/>
  <c r="Z71" i="12"/>
  <c r="Z56" i="12"/>
  <c r="B86" i="12"/>
  <c r="F6" i="4"/>
  <c r="M6" i="4"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72"/>
        </ext>
      </extLst>
    </bk>
    <bk>
      <extLst>
        <ext uri="{3e2802c4-a4d2-4d8b-9148-e3be6c30e623}">
          <xlrd:rvb i="159"/>
        </ext>
      </extLst>
    </bk>
    <bk>
      <extLst>
        <ext uri="{3e2802c4-a4d2-4d8b-9148-e3be6c30e623}">
          <xlrd:rvb i="220"/>
        </ext>
      </extLst>
    </bk>
  </futureMetadata>
  <valueMetadata count="4">
    <bk>
      <rc t="1" v="0"/>
    </bk>
    <bk>
      <rc t="1" v="1"/>
    </bk>
    <bk>
      <rc t="1" v="2"/>
    </bk>
    <bk>
      <rc t="1" v="3"/>
    </bk>
  </valueMetadata>
</metadata>
</file>

<file path=xl/sharedStrings.xml><?xml version="1.0" encoding="utf-8"?>
<sst xmlns="http://schemas.openxmlformats.org/spreadsheetml/2006/main" count="1580" uniqueCount="321">
  <si>
    <t>Transit + lead time</t>
  </si>
  <si>
    <t>Composite Valve Block</t>
  </si>
  <si>
    <t>Gate Valve</t>
  </si>
  <si>
    <t>Metal Seal</t>
  </si>
  <si>
    <t>Tubing Hanger</t>
  </si>
  <si>
    <t>Wing Blocks</t>
  </si>
  <si>
    <t>Time till August 1st</t>
  </si>
  <si>
    <t>166 days</t>
  </si>
  <si>
    <t>Supplier 2</t>
  </si>
  <si>
    <t>Romania</t>
  </si>
  <si>
    <t>Suppliers</t>
  </si>
  <si>
    <t>Country</t>
  </si>
  <si>
    <t>Lead time</t>
  </si>
  <si>
    <t>Supplier 5</t>
  </si>
  <si>
    <t>France</t>
  </si>
  <si>
    <t>Supplier 1</t>
  </si>
  <si>
    <t>Malaysia</t>
  </si>
  <si>
    <t>Supplier 7</t>
  </si>
  <si>
    <t>Brazil</t>
  </si>
  <si>
    <t>Supplier 3</t>
  </si>
  <si>
    <t>UK</t>
  </si>
  <si>
    <t>Supplier 4</t>
  </si>
  <si>
    <t>US</t>
  </si>
  <si>
    <t>Supplier 6</t>
  </si>
  <si>
    <t>Poland</t>
  </si>
  <si>
    <t>Supplier 8</t>
  </si>
  <si>
    <t>China</t>
  </si>
  <si>
    <t>Supplier 9</t>
  </si>
  <si>
    <t>Italy</t>
  </si>
  <si>
    <t>Supplier 10</t>
  </si>
  <si>
    <t>India</t>
  </si>
  <si>
    <t>Supplier 11</t>
  </si>
  <si>
    <t>*lead times in days</t>
  </si>
  <si>
    <t>Tubing Hangar</t>
  </si>
  <si>
    <t>Wing Block</t>
  </si>
  <si>
    <t>Delivery 1 - 10 Trees</t>
  </si>
  <si>
    <t>Delivery 2 - 30 Trees</t>
  </si>
  <si>
    <t>Qty</t>
  </si>
  <si>
    <t>Total Price</t>
  </si>
  <si>
    <t>Unit Price</t>
  </si>
  <si>
    <t>Price</t>
  </si>
  <si>
    <t>Total Delivery Cost Per Supplier</t>
  </si>
  <si>
    <t>Discount Amount</t>
  </si>
  <si>
    <t>Total Cost After Discounts</t>
  </si>
  <si>
    <t>Total Project Cost</t>
  </si>
  <si>
    <t>Mobilization Schedule</t>
  </si>
  <si>
    <t xml:space="preserve">153 days </t>
  </si>
  <si>
    <t>243 days</t>
  </si>
  <si>
    <t>COMPONENT</t>
  </si>
  <si>
    <t>CRITICALITY</t>
  </si>
  <si>
    <t>QTY</t>
  </si>
  <si>
    <t>Oct</t>
  </si>
  <si>
    <t>Nov</t>
  </si>
  <si>
    <t>Dec</t>
  </si>
  <si>
    <t>Jan</t>
  </si>
  <si>
    <t>Feb</t>
  </si>
  <si>
    <t>Mar</t>
  </si>
  <si>
    <t>Apr</t>
  </si>
  <si>
    <t>May</t>
  </si>
  <si>
    <t>Jun</t>
  </si>
  <si>
    <t>Jul</t>
  </si>
  <si>
    <t>Aug</t>
  </si>
  <si>
    <t>Sep</t>
  </si>
  <si>
    <t>1 ea</t>
  </si>
  <si>
    <t>Load Sales Order</t>
  </si>
  <si>
    <t>Able to Place PO</t>
  </si>
  <si>
    <t>Supplier Lead Time + Transit Time + 30 Days for Criticality</t>
  </si>
  <si>
    <t>Receive</t>
  </si>
  <si>
    <t>Assemble 10 Trees</t>
  </si>
  <si>
    <t>Assemble 30 Trees</t>
  </si>
  <si>
    <t>2 ea</t>
  </si>
  <si>
    <t>Engineering Activities - Part on Hold</t>
  </si>
  <si>
    <t>Supplier Lead Time + Transit Time</t>
  </si>
  <si>
    <t xml:space="preserve">without engineering </t>
  </si>
  <si>
    <t>5 ea</t>
  </si>
  <si>
    <t>with engineering</t>
  </si>
  <si>
    <t>Start 40 Comp Block</t>
  </si>
  <si>
    <t>Jan 9 Comp Block Done</t>
  </si>
  <si>
    <t>Receive 40 Comp Block</t>
  </si>
  <si>
    <t>Brazil 2</t>
  </si>
  <si>
    <t>Order Tubing Hangar</t>
  </si>
  <si>
    <t>Tubing Hangar Delivered</t>
  </si>
  <si>
    <t xml:space="preserve">buying </t>
  </si>
  <si>
    <t>gate valve</t>
  </si>
  <si>
    <t>Supplier 6 Poland</t>
  </si>
  <si>
    <t>Gate valve maybe</t>
  </si>
  <si>
    <t>days in month</t>
  </si>
  <si>
    <t>Supplier 7 brazil</t>
  </si>
  <si>
    <t>Wing block</t>
  </si>
  <si>
    <t>only viable one</t>
  </si>
  <si>
    <t>Time Remaining</t>
  </si>
  <si>
    <t>Comp Valve lead time</t>
  </si>
  <si>
    <t>Time Till Delivery</t>
  </si>
  <si>
    <t>Total Cost</t>
  </si>
  <si>
    <t>Discount</t>
  </si>
  <si>
    <t xml:space="preserve">Gate Valve </t>
  </si>
  <si>
    <t>Net Total Cost</t>
  </si>
  <si>
    <t xml:space="preserve">Poland </t>
  </si>
  <si>
    <t>Transit Cost</t>
  </si>
  <si>
    <t>price</t>
  </si>
  <si>
    <t>discount</t>
  </si>
  <si>
    <t>Transit COst</t>
  </si>
  <si>
    <t xml:space="preserve"> Total cost</t>
  </si>
  <si>
    <t xml:space="preserve">Engineer </t>
  </si>
  <si>
    <t>cost + eng</t>
  </si>
  <si>
    <t>SPI</t>
  </si>
  <si>
    <t xml:space="preserve">France </t>
  </si>
  <si>
    <t>Supplier 2 - Romania</t>
  </si>
  <si>
    <t>On Time Delivery Percentage Rate 86%</t>
  </si>
  <si>
    <t>Total Quantity of Parts Required</t>
  </si>
  <si>
    <t>Required Components by Deadline</t>
  </si>
  <si>
    <t>Quantity</t>
  </si>
  <si>
    <t>Order Gate Valve</t>
  </si>
  <si>
    <t>Lead Time + Transit TIme</t>
  </si>
  <si>
    <t>June 20 - Gate Valve Delivered</t>
  </si>
  <si>
    <t>Gate Valve in storage</t>
  </si>
  <si>
    <t>Volume Discounts</t>
  </si>
  <si>
    <t>Volume Discount Spend Levels</t>
  </si>
  <si>
    <t>Machining</t>
  </si>
  <si>
    <t>Greater than $3,000,000</t>
  </si>
  <si>
    <t>Order Wing Blocks</t>
  </si>
  <si>
    <t>Lead Time + Transit Time</t>
  </si>
  <si>
    <t>July 17 - Wing Block Delivered</t>
  </si>
  <si>
    <t>Greater than $6,000,000</t>
  </si>
  <si>
    <t>INCIDENTS</t>
  </si>
  <si>
    <t>Quality Issue</t>
  </si>
  <si>
    <t>OTD</t>
  </si>
  <si>
    <t>Supplier 7 - Brazil</t>
  </si>
  <si>
    <t>SPI 1.19</t>
  </si>
  <si>
    <t>Supplier 2 - France TTD</t>
  </si>
  <si>
    <t xml:space="preserve">Tubing Hangar </t>
  </si>
  <si>
    <t>Use engineer to improve quality issues and otd</t>
  </si>
  <si>
    <t>Total Days</t>
  </si>
  <si>
    <t>Transit TIme</t>
  </si>
  <si>
    <t>Lead TIme</t>
  </si>
  <si>
    <t>Criticality</t>
  </si>
  <si>
    <t>Unit Cost</t>
  </si>
  <si>
    <t>Transit Time and Cost</t>
  </si>
  <si>
    <t>just tubing hangar</t>
  </si>
  <si>
    <t>From Region</t>
  </si>
  <si>
    <t>To Manuf. Plant
SAM
Cost (% over Total Price)</t>
  </si>
  <si>
    <t>To Manuf. Plant
SAM
LT, Days</t>
  </si>
  <si>
    <t>Supplier 1 - Malaysia</t>
  </si>
  <si>
    <t>SPI 1.2</t>
  </si>
  <si>
    <t>Europe</t>
  </si>
  <si>
    <t>Cheapest option, we have long lead time on hand so extra time does not matter</t>
  </si>
  <si>
    <t>North America</t>
  </si>
  <si>
    <t>South America</t>
  </si>
  <si>
    <t>Supplier 5 - France</t>
  </si>
  <si>
    <t>On Time Delivery Percentage Rate 89%</t>
  </si>
  <si>
    <t xml:space="preserve"> likely higher after using engineer</t>
  </si>
  <si>
    <t>Asia Pacific</t>
  </si>
  <si>
    <t>May 31 - Gate Valve Delivered</t>
  </si>
  <si>
    <t>Gate Valve in Storage</t>
  </si>
  <si>
    <t>SPI 1.11</t>
  </si>
  <si>
    <t>Order Metal Seal</t>
  </si>
  <si>
    <t>March 17 - Metal Seal Delivered</t>
  </si>
  <si>
    <t>Metal Seal in storage</t>
  </si>
  <si>
    <t>Use engineer to improve otd</t>
  </si>
  <si>
    <t>cheaper than brazil</t>
  </si>
  <si>
    <t>also allows us to hire engineer for free because we save roughly $100,000 by using romania instead of poland</t>
  </si>
  <si>
    <t>Lets you play into "building up your supplier more"</t>
  </si>
  <si>
    <t>Supplier Lead Time + Transit TIme</t>
  </si>
  <si>
    <t>August 1 - Wing Blocks Delivered</t>
  </si>
  <si>
    <t>Supplier 5 - France TTD</t>
  </si>
  <si>
    <t>Cost of Suppliers</t>
  </si>
  <si>
    <t>2 Engineer @100k</t>
  </si>
  <si>
    <t>Final Cost</t>
  </si>
  <si>
    <t>Lead Time for Parts (Days)</t>
  </si>
  <si>
    <t>Supplier Lead Time + Transit Time June 5th delivery</t>
  </si>
  <si>
    <t>Supplier Lead Time + Transit Time + 30 Days for Criticality March 21st</t>
  </si>
  <si>
    <t>Supplier Lead Time + Transit Time + 30 Days for Criticality July 1st</t>
  </si>
  <si>
    <t>Supplier Lead Time + Transit Time July 7th</t>
  </si>
  <si>
    <t>Supplier 6- Poland</t>
  </si>
  <si>
    <t xml:space="preserve">Supplier Lead Time + Transit Time + 30 Days for Criticality </t>
  </si>
  <si>
    <t>Supplier Lead Time + Transit Time may 20</t>
  </si>
  <si>
    <t>Supplier Lead Time + Transit Time + 30 Days for Criticality march 16th</t>
  </si>
  <si>
    <t>Supplier Lead Time + Transit Time aug 10th</t>
  </si>
  <si>
    <t>Supplier 5 - Brazil TTD</t>
  </si>
  <si>
    <t>Supplier 9 - Italy</t>
  </si>
  <si>
    <t>March 22nd - Metal Seal Delivered</t>
  </si>
  <si>
    <t>Supplier</t>
  </si>
  <si>
    <t>Bill of Materials for Next Generation Tree</t>
  </si>
  <si>
    <t>Component</t>
  </si>
  <si>
    <t>September 1st 2025 - 10 Trees Needed</t>
  </si>
  <si>
    <t>December 1st 2025 - 30 Trees Needed</t>
  </si>
  <si>
    <t>Makes 40 Trees</t>
  </si>
  <si>
    <t>Required Components by deadline</t>
  </si>
  <si>
    <t>Cost to manufacture 40 Composite Valve Blocks</t>
  </si>
  <si>
    <t>Mfg Cost</t>
  </si>
  <si>
    <t>Additional Capacity Cost</t>
  </si>
  <si>
    <t>Number of Units Required</t>
  </si>
  <si>
    <t xml:space="preserve">Composite Valve Block </t>
  </si>
  <si>
    <t>Bids</t>
  </si>
  <si>
    <t>Pricing Schematics for Suppliers lower than 1.25 SPI</t>
  </si>
  <si>
    <t>Unit Cost for Parts</t>
  </si>
  <si>
    <t>Pricing Schematics for Suppliers greater than 1.25 SPI</t>
  </si>
  <si>
    <t>OTD% last 12 months</t>
  </si>
  <si>
    <t>Supplier 3 - UK</t>
  </si>
  <si>
    <t>Cost Per Unit</t>
  </si>
  <si>
    <t>Total Cost Per Part</t>
  </si>
  <si>
    <t>Total Cost after Discount</t>
  </si>
  <si>
    <t>No Discounts</t>
  </si>
  <si>
    <t>Supplier 1 Total Cost</t>
  </si>
  <si>
    <t>&gt;=</t>
  </si>
  <si>
    <t>Supplier 4 - US</t>
  </si>
  <si>
    <t>Supplier 2 Total Cost</t>
  </si>
  <si>
    <t>Supplier 6 - Poland</t>
  </si>
  <si>
    <t>Supplier 6 Total Cost</t>
  </si>
  <si>
    <t>Supplier 8 - China</t>
  </si>
  <si>
    <t>Supplier 7 Total Cost</t>
  </si>
  <si>
    <t>Supplier 11 - Brazil</t>
  </si>
  <si>
    <t>Supplier 9 Total Cost</t>
  </si>
  <si>
    <t>Supplier 10 - India</t>
  </si>
  <si>
    <t>Supplier 10 Total Cost</t>
  </si>
  <si>
    <t>Composite Valve Block: In house</t>
  </si>
  <si>
    <t>Load sales orders</t>
  </si>
  <si>
    <t>Able to Place PO 
Nov 1st</t>
  </si>
  <si>
    <t>Lead Time (70) + Transit Time (14) + 30 Days for Criticality=114</t>
  </si>
  <si>
    <t>Gate Valve: Supplier 6 (France)</t>
  </si>
  <si>
    <t>Engineering Activities -
 Part on Hold</t>
  </si>
  <si>
    <t>Able to Place PO
March 1st</t>
  </si>
  <si>
    <t>Supplier Lead Time (107) + Transit Time (42)</t>
  </si>
  <si>
    <t>Metal Seal: Supplier 6 (France)</t>
  </si>
  <si>
    <t>Able to Place PO
Nov 1st</t>
  </si>
  <si>
    <t>Lead Time (96) + Transit Time (42) + 30 Days for Criticality</t>
  </si>
  <si>
    <t>Tubing Hanger: Supplier 2 (Romania)</t>
  </si>
  <si>
    <t>Supplier Lead Time (190) + Transit Time (42) + 30 Days for Criticality</t>
  </si>
  <si>
    <t>Wing Blocks 2:
Supplier X ()</t>
  </si>
  <si>
    <t>Wing Blocks: Supplier 7 (Brazil)</t>
  </si>
  <si>
    <t>Engineering Activities - 
Part on Hold</t>
  </si>
  <si>
    <t>Able to Place PO
Feb 15th</t>
  </si>
  <si>
    <t>Supplier Lead Time (142) + Transit Time (14)</t>
  </si>
  <si>
    <t>Qualified Suppliers List</t>
  </si>
  <si>
    <t>Category</t>
  </si>
  <si>
    <t>Spend Based On Recipts (Past 3 Months)</t>
  </si>
  <si>
    <t>HSE Recordable Incidents last 12 months</t>
  </si>
  <si>
    <t>QN last 12 months</t>
  </si>
  <si>
    <t>1 Engineer</t>
  </si>
  <si>
    <t>2 Engineer</t>
  </si>
  <si>
    <t>3 Engineer</t>
  </si>
  <si>
    <t>Suppliers need to be scalable up to 5 years, focus on high otd and low qn</t>
  </si>
  <si>
    <t>SPI Calculator</t>
  </si>
  <si>
    <t>SPI Constant</t>
  </si>
  <si>
    <t>To calculate a supplier's SPI, you must enter the past 3 months aggregated spend, HSE recordable incidents for the last 12 months, QNs for the last 12 months, OTD % for the last 12 months, and the SPI will auto calculate in the red cell.</t>
  </si>
  <si>
    <t>Spend Based On Recipts Past 3 Months</t>
  </si>
  <si>
    <t>HSE Points/$M</t>
  </si>
  <si>
    <t>HSE Points</t>
  </si>
  <si>
    <t>HSE SPI</t>
  </si>
  <si>
    <t>QN Points</t>
  </si>
  <si>
    <t>QN Points/$M</t>
  </si>
  <si>
    <t>QN SPI</t>
  </si>
  <si>
    <t>OTD SPI</t>
  </si>
  <si>
    <t> </t>
  </si>
  <si>
    <t>fast lead time for composite, metal, gate</t>
  </si>
  <si>
    <t>supplier 1</t>
  </si>
  <si>
    <t>fast lead time for tubing and wing</t>
  </si>
  <si>
    <t>supplier 2</t>
  </si>
  <si>
    <t>Raad</t>
  </si>
  <si>
    <t>maybe metal seal</t>
  </si>
  <si>
    <t>Tubing hangar TTD</t>
  </si>
  <si>
    <t>*Lead times include weekends</t>
  </si>
  <si>
    <t>Gate Valve TTD</t>
  </si>
  <si>
    <t>wing block</t>
  </si>
  <si>
    <t xml:space="preserve">Manufacturing Cost &amp; Capacity </t>
  </si>
  <si>
    <t>Machine</t>
  </si>
  <si>
    <t>Machine Location</t>
  </si>
  <si>
    <r>
      <t>Part</t>
    </r>
    <r>
      <rPr>
        <vertAlign val="superscript"/>
        <sz val="12"/>
        <color theme="1"/>
        <rFont val="Calibri"/>
        <family val="2"/>
        <scheme val="minor"/>
      </rPr>
      <t>1</t>
    </r>
  </si>
  <si>
    <r>
      <t>Cost to Manufacture</t>
    </r>
    <r>
      <rPr>
        <vertAlign val="superscript"/>
        <sz val="12"/>
        <color theme="1"/>
        <rFont val="Calibri"/>
        <family val="2"/>
        <scheme val="minor"/>
      </rPr>
      <t>2</t>
    </r>
  </si>
  <si>
    <r>
      <t>Projected 2024 Volume</t>
    </r>
    <r>
      <rPr>
        <vertAlign val="superscript"/>
        <sz val="12"/>
        <color theme="1"/>
        <rFont val="Calibri"/>
        <family val="2"/>
        <scheme val="minor"/>
      </rPr>
      <t>3</t>
    </r>
  </si>
  <si>
    <t>Current Capacity</t>
  </si>
  <si>
    <r>
      <t>Additional Capacity Cost</t>
    </r>
    <r>
      <rPr>
        <vertAlign val="superscript"/>
        <sz val="12"/>
        <color theme="1"/>
        <rFont val="Calibri"/>
        <family val="2"/>
        <scheme val="minor"/>
      </rPr>
      <t>4</t>
    </r>
  </si>
  <si>
    <t>Aditional Capacity Units</t>
  </si>
  <si>
    <r>
      <t>Lead Time</t>
    </r>
    <r>
      <rPr>
        <vertAlign val="superscript"/>
        <sz val="12"/>
        <color theme="1"/>
        <rFont val="Calibri"/>
        <family val="2"/>
        <scheme val="minor"/>
      </rPr>
      <t>5</t>
    </r>
  </si>
  <si>
    <t>#1</t>
  </si>
  <si>
    <t>Singapore</t>
  </si>
  <si>
    <t>days</t>
  </si>
  <si>
    <t>#2</t>
  </si>
  <si>
    <t>South American Plant</t>
  </si>
  <si>
    <t>Notes</t>
  </si>
  <si>
    <r>
      <rPr>
        <vertAlign val="superscript"/>
        <sz val="9"/>
        <color theme="1"/>
        <rFont val="Calibri"/>
        <family val="2"/>
        <scheme val="minor"/>
      </rPr>
      <t>1</t>
    </r>
    <r>
      <rPr>
        <sz val="9"/>
        <color theme="1"/>
        <rFont val="Calibri"/>
        <family val="2"/>
        <scheme val="minor"/>
      </rPr>
      <t>Due to the complexity of these parts these parts can only be manufactured on designated machines.</t>
    </r>
  </si>
  <si>
    <r>
      <rPr>
        <vertAlign val="superscript"/>
        <sz val="9"/>
        <color theme="1"/>
        <rFont val="Calibri"/>
        <family val="2"/>
        <scheme val="minor"/>
      </rPr>
      <t>2</t>
    </r>
    <r>
      <rPr>
        <sz val="9"/>
        <color theme="1"/>
        <rFont val="Calibri"/>
        <family val="2"/>
        <scheme val="minor"/>
      </rPr>
      <t>Direct material and labor represent 60% of the total cost of parts manufactured in house.</t>
    </r>
  </si>
  <si>
    <r>
      <rPr>
        <vertAlign val="superscript"/>
        <sz val="9"/>
        <color theme="1"/>
        <rFont val="Calibri"/>
        <family val="2"/>
        <scheme val="minor"/>
      </rPr>
      <t>3</t>
    </r>
    <r>
      <rPr>
        <sz val="9"/>
        <color theme="1"/>
        <rFont val="Calibri"/>
        <family val="2"/>
        <scheme val="minor"/>
      </rPr>
      <t xml:space="preserve">Projected volume represents current demand for these machines due to pre-exisitng projects. </t>
    </r>
  </si>
  <si>
    <r>
      <rPr>
        <vertAlign val="superscript"/>
        <sz val="9"/>
        <color theme="1"/>
        <rFont val="Calibri"/>
        <family val="2"/>
        <scheme val="minor"/>
      </rPr>
      <t>4</t>
    </r>
    <r>
      <rPr>
        <sz val="9"/>
        <color theme="1"/>
        <rFont val="Calibri"/>
        <family val="2"/>
        <scheme val="minor"/>
      </rPr>
      <t>Investments in additional capacity include expanding current proudction and aquiring new manufacturing process.</t>
    </r>
    <r>
      <rPr>
        <vertAlign val="superscript"/>
        <sz val="9"/>
        <color theme="1"/>
        <rFont val="Calibri"/>
        <family val="2"/>
        <scheme val="minor"/>
      </rPr>
      <t xml:space="preserve"> </t>
    </r>
    <r>
      <rPr>
        <sz val="9"/>
        <color theme="1"/>
        <rFont val="Calibri"/>
        <family val="2"/>
        <scheme val="minor"/>
      </rPr>
      <t xml:space="preserve">Additional capacity will be available as soon as investment is made. </t>
    </r>
  </si>
  <si>
    <r>
      <rPr>
        <vertAlign val="superscript"/>
        <sz val="9"/>
        <color theme="1"/>
        <rFont val="Calibri"/>
        <family val="2"/>
        <scheme val="minor"/>
      </rPr>
      <t>5</t>
    </r>
    <r>
      <rPr>
        <sz val="9"/>
        <color theme="1"/>
        <rFont val="Calibri"/>
        <family val="2"/>
        <scheme val="minor"/>
      </rPr>
      <t>Assume that lead time can be met as long as capacity remains.</t>
    </r>
  </si>
  <si>
    <t>Factor in additional capacity cost as a redundancy in case all pending purchase orders are not converted into sales</t>
  </si>
  <si>
    <t>just say this we good</t>
  </si>
  <si>
    <t>Make/Buy</t>
  </si>
  <si>
    <t>Year</t>
  </si>
  <si>
    <t>Product</t>
  </si>
  <si>
    <t>Sales</t>
  </si>
  <si>
    <t>Rating</t>
  </si>
  <si>
    <t>Components</t>
  </si>
  <si>
    <t>Chains</t>
  </si>
  <si>
    <t>Clothing</t>
  </si>
  <si>
    <t>Socks</t>
  </si>
  <si>
    <t>Bib-Shorts</t>
  </si>
  <si>
    <t>Shorts</t>
  </si>
  <si>
    <t>Tights</t>
  </si>
  <si>
    <t>Handlebars</t>
  </si>
  <si>
    <t>Brakes</t>
  </si>
  <si>
    <t>Bikes</t>
  </si>
  <si>
    <t>Mountain Bikes</t>
  </si>
  <si>
    <t>Accessories</t>
  </si>
  <si>
    <t>Helmets</t>
  </si>
  <si>
    <t>Lights</t>
  </si>
  <si>
    <t>Locks</t>
  </si>
  <si>
    <t>Bottom Brackets</t>
  </si>
  <si>
    <t>Jerseys</t>
  </si>
  <si>
    <t>Road Bikes</t>
  </si>
  <si>
    <t>Tires and Tubes</t>
  </si>
  <si>
    <t>Cargo Bike</t>
  </si>
  <si>
    <t>Bike Racks</t>
  </si>
  <si>
    <t>Caps</t>
  </si>
  <si>
    <t>Pumps</t>
  </si>
  <si>
    <t>Wheels</t>
  </si>
  <si>
    <t>Touring Bikes</t>
  </si>
  <si>
    <t>Vests</t>
  </si>
  <si>
    <t>Pedals</t>
  </si>
  <si>
    <t>Gloves</t>
  </si>
  <si>
    <t>Saddles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</si>
</sst>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44" formatCode="_(&quot;$&quot;* #,##0.00_);_(&quot;$&quot;* \(#,##0.00\);_(&quot;$&quot;* &quot;-&quot;??_);_(@_)"/>
    <numFmt numFmtId="164" formatCode="&quot;$&quot;#,##0.00"/>
    <numFmt numFmtId="165" formatCode="&quot;$&quot;#,##0"/>
    <numFmt numFmtId="166" formatCode="_(&quot;$&quot;* #,##0_);_(&quot;$&quot;* \(#,##0\);_(&quot;$&quot;* &quot;-&quot;??_);_(@_)"/>
    <numFmt numFmtId="167" formatCode="_(&quot;$&quot;* #,##0.0_);_(&quot;$&quot;* \(#,##0.0\);_(&quot;$&quot;* &quot;-&quot;?_);_(@_)"/>
    <numFmt numFmtId="168" formatCode="_([$$-409]* #,##0.00_);_([$$-409]* \(#,##0.00\);_([$$-409]* &quot;-&quot;??_);_(@_)"/>
  </numFmts>
  <fonts count="25" x14ac:knownFonts="1">
    <font>
      <sz val="11"/>
      <color theme="1"/>
      <name val="Calibri"/>
      <family val="2"/>
      <scheme val="minor"/>
    </font>
    <font>
      <b/>
      <sz val="11"/>
      <color theme="1"/>
      <name val="Calibri"/>
      <family val="2"/>
      <scheme val="minor"/>
    </font>
    <font>
      <sz val="8"/>
      <color rgb="FF000000"/>
      <name val="Calibri"/>
      <family val="2"/>
      <scheme val="minor"/>
    </font>
    <font>
      <sz val="11"/>
      <name val="Calibri"/>
      <family val="2"/>
      <scheme val="minor"/>
    </font>
    <font>
      <b/>
      <sz val="11"/>
      <color rgb="FF000000"/>
      <name val="Calibri"/>
      <family val="2"/>
      <scheme val="minor"/>
    </font>
    <font>
      <sz val="12"/>
      <color theme="1"/>
      <name val="Calibri"/>
      <family val="2"/>
      <scheme val="minor"/>
    </font>
    <font>
      <sz val="12"/>
      <color rgb="FF000000"/>
      <name val="Calibri"/>
      <family val="2"/>
      <scheme val="minor"/>
    </font>
    <font>
      <b/>
      <i/>
      <sz val="12"/>
      <color theme="1"/>
      <name val="Calibri"/>
      <family val="2"/>
      <scheme val="minor"/>
    </font>
    <font>
      <sz val="9"/>
      <color theme="1"/>
      <name val="Calibri"/>
      <family val="2"/>
      <scheme val="minor"/>
    </font>
    <font>
      <vertAlign val="superscript"/>
      <sz val="12"/>
      <color theme="1"/>
      <name val="Calibri"/>
      <family val="2"/>
      <scheme val="minor"/>
    </font>
    <font>
      <vertAlign val="superscript"/>
      <sz val="9"/>
      <color theme="1"/>
      <name val="Calibri"/>
      <family val="2"/>
      <scheme val="minor"/>
    </font>
    <font>
      <sz val="11"/>
      <color theme="1"/>
      <name val="Calibri"/>
      <family val="2"/>
      <scheme val="minor"/>
    </font>
    <font>
      <sz val="20"/>
      <color theme="0" tint="-4.9989318521683403E-2"/>
      <name val="Arial Black"/>
      <family val="2"/>
    </font>
    <font>
      <b/>
      <sz val="20"/>
      <color theme="0" tint="-4.9989318521683403E-2"/>
      <name val="Impact"/>
      <family val="2"/>
    </font>
    <font>
      <sz val="8"/>
      <name val="Calibri"/>
      <family val="2"/>
      <scheme val="minor"/>
    </font>
    <font>
      <b/>
      <sz val="20"/>
      <color theme="0"/>
      <name val="Calibri"/>
      <family val="2"/>
      <scheme val="minor"/>
    </font>
    <font>
      <b/>
      <sz val="9"/>
      <color rgb="FF000000"/>
      <name val="Calibri"/>
      <family val="2"/>
      <scheme val="minor"/>
    </font>
    <font>
      <sz val="11"/>
      <color rgb="FF000000"/>
      <name val="Calibri"/>
      <family val="2"/>
      <scheme val="minor"/>
    </font>
    <font>
      <b/>
      <sz val="11"/>
      <color rgb="FF000000"/>
      <name val="Calibri"/>
      <family val="2"/>
    </font>
    <font>
      <sz val="11"/>
      <color rgb="FF000000"/>
      <name val="Calibri"/>
      <family val="2"/>
    </font>
    <font>
      <sz val="36"/>
      <color theme="1"/>
      <name val="Calibri"/>
      <family val="2"/>
      <scheme val="minor"/>
    </font>
    <font>
      <sz val="36"/>
      <color rgb="FF000000"/>
      <name val="Calibri"/>
      <family val="2"/>
      <scheme val="minor"/>
    </font>
    <font>
      <sz val="20"/>
      <color theme="1"/>
      <name val="Calibri"/>
      <family val="2"/>
      <scheme val="minor"/>
    </font>
    <font>
      <sz val="20"/>
      <color rgb="FF000000"/>
      <name val="Calibri"/>
      <family val="2"/>
      <scheme val="minor"/>
    </font>
    <font>
      <sz val="11"/>
      <color rgb="FF000000"/>
      <name val="Calibri"/>
      <family val="2"/>
    </font>
  </fonts>
  <fills count="27">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7030A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7"/>
        <bgColor indexed="64"/>
      </patternFill>
    </fill>
    <fill>
      <patternFill patternType="solid">
        <fgColor theme="0" tint="-0.249977111117893"/>
        <bgColor indexed="64"/>
      </patternFill>
    </fill>
    <fill>
      <patternFill patternType="solid">
        <fgColor theme="6"/>
        <bgColor indexed="64"/>
      </patternFill>
    </fill>
    <fill>
      <patternFill patternType="solid">
        <fgColor rgb="FF92D050"/>
        <bgColor indexed="64"/>
      </patternFill>
    </fill>
    <fill>
      <patternFill patternType="solid">
        <fgColor theme="4" tint="0.39997558519241921"/>
        <bgColor indexed="64"/>
      </patternFill>
    </fill>
    <fill>
      <patternFill patternType="solid">
        <fgColor rgb="FF95B3D7"/>
        <bgColor rgb="FF000000"/>
      </patternFill>
    </fill>
    <fill>
      <patternFill patternType="solid">
        <fgColor theme="6" tint="0.39997558519241921"/>
        <bgColor indexed="64"/>
      </patternFill>
    </fill>
    <fill>
      <patternFill patternType="solid">
        <fgColor rgb="FFF2F2F2"/>
        <bgColor rgb="FF000000"/>
      </patternFill>
    </fill>
    <fill>
      <patternFill patternType="solid">
        <fgColor rgb="FFF2DCDB"/>
        <bgColor rgb="FF000000"/>
      </patternFill>
    </fill>
    <fill>
      <patternFill patternType="solid">
        <fgColor rgb="FFD8E4BC"/>
        <bgColor rgb="FF000000"/>
      </patternFill>
    </fill>
    <fill>
      <patternFill patternType="solid">
        <fgColor rgb="FFC4D79B"/>
        <bgColor rgb="FF000000"/>
      </patternFill>
    </fill>
    <fill>
      <patternFill patternType="solid">
        <fgColor rgb="FFD9D9D9"/>
        <bgColor rgb="FF000000"/>
      </patternFill>
    </fill>
    <fill>
      <patternFill patternType="solid">
        <fgColor rgb="FFFFFF00"/>
        <bgColor indexed="64"/>
      </patternFill>
    </fill>
    <fill>
      <patternFill patternType="solid">
        <fgColor theme="1"/>
        <bgColor indexed="64"/>
      </patternFill>
    </fill>
    <fill>
      <patternFill patternType="solid">
        <fgColor theme="2"/>
        <bgColor indexed="64"/>
      </patternFill>
    </fill>
    <fill>
      <patternFill patternType="solid">
        <fgColor rgb="FF00B050"/>
        <bgColor indexed="64"/>
      </patternFill>
    </fill>
    <fill>
      <patternFill patternType="solid">
        <fgColor theme="2" tint="-0.249977111117893"/>
        <bgColor indexed="64"/>
      </patternFill>
    </fill>
    <fill>
      <patternFill patternType="solid">
        <fgColor theme="0"/>
        <bgColor indexed="64"/>
      </patternFill>
    </fill>
  </fills>
  <borders count="4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3">
    <xf numFmtId="0" fontId="0" fillId="0" borderId="0"/>
    <xf numFmtId="44" fontId="11" fillId="0" borderId="0" applyFont="0" applyFill="0" applyBorder="0" applyAlignment="0" applyProtection="0"/>
    <xf numFmtId="9" fontId="11" fillId="0" borderId="0" applyFont="0" applyFill="0" applyBorder="0" applyAlignment="0" applyProtection="0"/>
  </cellStyleXfs>
  <cellXfs count="305">
    <xf numFmtId="0" fontId="0" fillId="0" borderId="0" xfId="0"/>
    <xf numFmtId="0" fontId="0" fillId="0" borderId="4" xfId="0" applyBorder="1"/>
    <xf numFmtId="0" fontId="0" fillId="2" borderId="0" xfId="0" applyFill="1"/>
    <xf numFmtId="0" fontId="2" fillId="2" borderId="0" xfId="0" applyFont="1" applyFill="1" applyAlignment="1">
      <alignment horizontal="center"/>
    </xf>
    <xf numFmtId="0" fontId="5" fillId="0" borderId="1" xfId="0" applyFont="1" applyBorder="1" applyAlignment="1">
      <alignment horizontal="center"/>
    </xf>
    <xf numFmtId="0" fontId="6" fillId="0" borderId="1" xfId="0" applyFont="1" applyBorder="1" applyAlignment="1">
      <alignment horizontal="center"/>
    </xf>
    <xf numFmtId="0" fontId="6" fillId="0" borderId="3" xfId="0" applyFont="1" applyBorder="1" applyAlignment="1">
      <alignment horizontal="center"/>
    </xf>
    <xf numFmtId="0" fontId="6" fillId="0" borderId="0" xfId="0" applyFont="1" applyAlignment="1">
      <alignment horizontal="center"/>
    </xf>
    <xf numFmtId="2" fontId="0" fillId="0" borderId="4" xfId="0" applyNumberFormat="1" applyBorder="1"/>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xf>
    <xf numFmtId="164" fontId="3" fillId="4" borderId="3" xfId="0" applyNumberFormat="1" applyFont="1" applyFill="1" applyBorder="1" applyProtection="1">
      <protection locked="0"/>
    </xf>
    <xf numFmtId="0" fontId="3" fillId="4" borderId="4" xfId="0" applyFont="1" applyFill="1" applyBorder="1" applyProtection="1">
      <protection locked="0"/>
    </xf>
    <xf numFmtId="0" fontId="0" fillId="4" borderId="4" xfId="0" applyFill="1" applyBorder="1" applyProtection="1">
      <protection locked="0"/>
    </xf>
    <xf numFmtId="9" fontId="0" fillId="4" borderId="4" xfId="0" applyNumberFormat="1" applyFill="1" applyBorder="1" applyProtection="1">
      <protection locked="0"/>
    </xf>
    <xf numFmtId="2" fontId="0" fillId="3" borderId="5" xfId="0" applyNumberFormat="1" applyFill="1" applyBorder="1"/>
    <xf numFmtId="9" fontId="5" fillId="0" borderId="2" xfId="0" applyNumberFormat="1" applyFont="1" applyBorder="1" applyAlignment="1">
      <alignment horizontal="center"/>
    </xf>
    <xf numFmtId="9" fontId="5" fillId="0" borderId="5" xfId="0" applyNumberFormat="1" applyFont="1" applyBorder="1" applyAlignment="1">
      <alignment horizontal="center"/>
    </xf>
    <xf numFmtId="0" fontId="0" fillId="0" borderId="1" xfId="0" applyBorder="1" applyAlignment="1">
      <alignment horizontal="left" vertical="center"/>
    </xf>
    <xf numFmtId="0" fontId="0" fillId="0" borderId="1" xfId="0" applyBorder="1" applyAlignment="1">
      <alignment horizontal="left"/>
    </xf>
    <xf numFmtId="0" fontId="0" fillId="2" borderId="0" xfId="0" applyFill="1" applyAlignment="1">
      <alignment horizontal="center"/>
    </xf>
    <xf numFmtId="0" fontId="0" fillId="2" borderId="0" xfId="0" applyFill="1" applyAlignment="1">
      <alignment horizontal="center" vertical="center" wrapText="1"/>
    </xf>
    <xf numFmtId="0" fontId="8" fillId="2" borderId="0" xfId="0" applyFont="1" applyFill="1"/>
    <xf numFmtId="0" fontId="8" fillId="2" borderId="0" xfId="0" applyFont="1" applyFill="1" applyAlignment="1">
      <alignment horizontal="left"/>
    </xf>
    <xf numFmtId="0" fontId="5" fillId="0" borderId="0" xfId="0" applyFont="1" applyAlignment="1">
      <alignment horizontal="center"/>
    </xf>
    <xf numFmtId="0" fontId="5" fillId="0" borderId="2" xfId="0" applyFont="1" applyBorder="1" applyAlignment="1">
      <alignment horizontal="center"/>
    </xf>
    <xf numFmtId="16" fontId="0" fillId="2" borderId="0" xfId="0" applyNumberFormat="1" applyFill="1"/>
    <xf numFmtId="165" fontId="0" fillId="2" borderId="0" xfId="0" applyNumberFormat="1" applyFill="1"/>
    <xf numFmtId="0" fontId="8" fillId="0" borderId="7" xfId="0" applyFont="1" applyBorder="1" applyAlignment="1">
      <alignment horizontal="center" vertical="center" wrapText="1"/>
    </xf>
    <xf numFmtId="0" fontId="8" fillId="0" borderId="6" xfId="0" applyFont="1" applyBorder="1" applyAlignment="1">
      <alignment horizontal="center"/>
    </xf>
    <xf numFmtId="44" fontId="0" fillId="2" borderId="0" xfId="1" applyFont="1" applyFill="1"/>
    <xf numFmtId="0" fontId="0" fillId="0" borderId="1" xfId="0" applyBorder="1" applyAlignment="1">
      <alignment horizontal="center" vertical="center"/>
    </xf>
    <xf numFmtId="0" fontId="0" fillId="0" borderId="2" xfId="0" applyBorder="1" applyAlignment="1">
      <alignment horizontal="center" vertical="center" wrapText="1"/>
    </xf>
    <xf numFmtId="166" fontId="5" fillId="0" borderId="0" xfId="1" applyNumberFormat="1" applyFont="1" applyFill="1" applyBorder="1"/>
    <xf numFmtId="166" fontId="0" fillId="5" borderId="0" xfId="1" applyNumberFormat="1" applyFont="1" applyFill="1" applyBorder="1"/>
    <xf numFmtId="166" fontId="0" fillId="5" borderId="2" xfId="1" applyNumberFormat="1" applyFont="1" applyFill="1" applyBorder="1"/>
    <xf numFmtId="9" fontId="0" fillId="0" borderId="0" xfId="2" applyFont="1" applyFill="1" applyBorder="1" applyAlignment="1">
      <alignment horizontal="center"/>
    </xf>
    <xf numFmtId="0" fontId="0" fillId="0" borderId="3" xfId="0" applyBorder="1" applyAlignment="1">
      <alignment horizontal="left"/>
    </xf>
    <xf numFmtId="9" fontId="0" fillId="0" borderId="4" xfId="2" applyFont="1" applyFill="1" applyBorder="1" applyAlignment="1">
      <alignment horizontal="center"/>
    </xf>
    <xf numFmtId="0" fontId="5" fillId="0" borderId="3" xfId="0" applyFont="1" applyBorder="1" applyAlignment="1">
      <alignment horizontal="center"/>
    </xf>
    <xf numFmtId="0" fontId="6" fillId="0" borderId="4" xfId="0" applyFont="1" applyBorder="1" applyAlignment="1">
      <alignment horizontal="center"/>
    </xf>
    <xf numFmtId="166" fontId="5" fillId="0" borderId="4" xfId="1" applyNumberFormat="1" applyFont="1" applyFill="1" applyBorder="1"/>
    <xf numFmtId="0" fontId="5" fillId="0" borderId="4" xfId="0" applyFont="1" applyBorder="1" applyAlignment="1">
      <alignment horizontal="center"/>
    </xf>
    <xf numFmtId="0" fontId="5" fillId="0" borderId="5" xfId="0" applyFont="1" applyBorder="1" applyAlignment="1">
      <alignment horizont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2" borderId="0" xfId="0" applyFill="1" applyAlignment="1">
      <alignment horizontal="center" vertical="center"/>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7" borderId="15" xfId="0" applyFont="1" applyFill="1" applyBorder="1" applyAlignment="1">
      <alignment horizontal="center" vertical="center" wrapText="1"/>
    </xf>
    <xf numFmtId="0" fontId="1" fillId="7" borderId="14" xfId="0" applyFont="1" applyFill="1" applyBorder="1" applyAlignment="1">
      <alignment horizontal="center" vertical="center" wrapText="1"/>
    </xf>
    <xf numFmtId="17" fontId="1" fillId="7" borderId="14" xfId="0" applyNumberFormat="1" applyFont="1" applyFill="1" applyBorder="1" applyAlignment="1">
      <alignment horizontal="center" vertical="center"/>
    </xf>
    <xf numFmtId="17" fontId="1" fillId="7" borderId="14" xfId="0" applyNumberFormat="1" applyFont="1" applyFill="1" applyBorder="1" applyAlignment="1">
      <alignment horizontal="center" vertical="center" wrapText="1"/>
    </xf>
    <xf numFmtId="0" fontId="1" fillId="11" borderId="14" xfId="0" applyFont="1" applyFill="1" applyBorder="1" applyAlignment="1">
      <alignment horizontal="center" vertical="center"/>
    </xf>
    <xf numFmtId="0" fontId="1" fillId="0" borderId="14" xfId="0" applyFont="1" applyBorder="1" applyAlignment="1">
      <alignment horizontal="center" vertical="center"/>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8" xfId="0" applyFont="1" applyBorder="1" applyAlignment="1">
      <alignment horizontal="center" vertical="center"/>
    </xf>
    <xf numFmtId="0" fontId="0" fillId="0" borderId="2" xfId="2" applyNumberFormat="1" applyFont="1" applyFill="1" applyBorder="1" applyAlignment="1">
      <alignment horizontal="center"/>
    </xf>
    <xf numFmtId="0" fontId="0" fillId="0" borderId="5" xfId="2" applyNumberFormat="1" applyFont="1" applyFill="1" applyBorder="1" applyAlignment="1">
      <alignment horizontal="center"/>
    </xf>
    <xf numFmtId="1" fontId="0" fillId="5" borderId="0" xfId="1" applyNumberFormat="1" applyFont="1" applyFill="1" applyBorder="1" applyAlignment="1">
      <alignment horizontal="center"/>
    </xf>
    <xf numFmtId="1" fontId="0" fillId="5" borderId="4" xfId="1" applyNumberFormat="1" applyFont="1" applyFill="1" applyBorder="1" applyAlignment="1">
      <alignment horizontal="center"/>
    </xf>
    <xf numFmtId="1" fontId="0" fillId="5" borderId="5" xfId="1" applyNumberFormat="1" applyFont="1" applyFill="1" applyBorder="1" applyAlignment="1">
      <alignment horizontal="center"/>
    </xf>
    <xf numFmtId="0" fontId="1"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32" xfId="0" applyFont="1" applyBorder="1" applyAlignment="1">
      <alignment horizontal="center" vertical="center" wrapText="1"/>
    </xf>
    <xf numFmtId="0" fontId="1" fillId="8" borderId="24" xfId="0" applyFont="1" applyFill="1" applyBorder="1" applyAlignment="1">
      <alignment horizontal="center" vertical="center"/>
    </xf>
    <xf numFmtId="0" fontId="1" fillId="8" borderId="7" xfId="0" applyFont="1" applyFill="1" applyBorder="1" applyAlignment="1">
      <alignment horizontal="center" vertical="center"/>
    </xf>
    <xf numFmtId="0" fontId="1" fillId="8" borderId="6" xfId="0" applyFont="1" applyFill="1" applyBorder="1" applyAlignment="1">
      <alignment horizontal="center" vertical="center"/>
    </xf>
    <xf numFmtId="0" fontId="0" fillId="3" borderId="1" xfId="0" applyFill="1" applyBorder="1" applyAlignment="1">
      <alignment horizontal="center" vertical="center"/>
    </xf>
    <xf numFmtId="0" fontId="0" fillId="3" borderId="0" xfId="0" applyFill="1" applyAlignment="1">
      <alignment horizontal="center" vertical="center"/>
    </xf>
    <xf numFmtId="166" fontId="0" fillId="3" borderId="0" xfId="1" applyNumberFormat="1" applyFont="1" applyFill="1" applyBorder="1" applyAlignment="1">
      <alignment horizontal="center" vertical="center"/>
    </xf>
    <xf numFmtId="9" fontId="0" fillId="3" borderId="2" xfId="2"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9" fontId="0" fillId="3" borderId="5" xfId="2" applyFont="1" applyFill="1" applyBorder="1" applyAlignment="1">
      <alignment horizontal="center" vertical="center"/>
    </xf>
    <xf numFmtId="0" fontId="0" fillId="12" borderId="1" xfId="0" applyFill="1" applyBorder="1" applyAlignment="1">
      <alignment horizontal="center" vertical="center"/>
    </xf>
    <xf numFmtId="0" fontId="0" fillId="12" borderId="0" xfId="0" applyFill="1" applyAlignment="1">
      <alignment horizontal="center" vertical="center"/>
    </xf>
    <xf numFmtId="166" fontId="0" fillId="12" borderId="0" xfId="1" applyNumberFormat="1" applyFont="1" applyFill="1" applyBorder="1" applyAlignment="1">
      <alignment horizontal="center" vertical="center"/>
    </xf>
    <xf numFmtId="9" fontId="0" fillId="12" borderId="2" xfId="2" applyFont="1" applyFill="1" applyBorder="1" applyAlignment="1">
      <alignment horizontal="center" vertical="center"/>
    </xf>
    <xf numFmtId="0" fontId="0" fillId="0" borderId="14" xfId="0" applyBorder="1"/>
    <xf numFmtId="44" fontId="0" fillId="0" borderId="0" xfId="0" applyNumberFormat="1"/>
    <xf numFmtId="0" fontId="0" fillId="3" borderId="1" xfId="0" applyFill="1" applyBorder="1" applyAlignment="1">
      <alignment horizontal="left"/>
    </xf>
    <xf numFmtId="166" fontId="0" fillId="3" borderId="0" xfId="1" applyNumberFormat="1" applyFont="1" applyFill="1" applyBorder="1"/>
    <xf numFmtId="166" fontId="0" fillId="3" borderId="2" xfId="1" applyNumberFormat="1" applyFont="1" applyFill="1" applyBorder="1"/>
    <xf numFmtId="1" fontId="0" fillId="3" borderId="0" xfId="1" applyNumberFormat="1" applyFont="1" applyFill="1" applyBorder="1" applyAlignment="1">
      <alignment horizontal="center"/>
    </xf>
    <xf numFmtId="1" fontId="0" fillId="3" borderId="2" xfId="1" applyNumberFormat="1" applyFont="1" applyFill="1" applyBorder="1" applyAlignment="1">
      <alignment horizontal="center"/>
    </xf>
    <xf numFmtId="0" fontId="0" fillId="3" borderId="3" xfId="0" applyFill="1" applyBorder="1" applyAlignment="1">
      <alignment horizontal="left"/>
    </xf>
    <xf numFmtId="1" fontId="0" fillId="3" borderId="4" xfId="1" applyNumberFormat="1" applyFont="1" applyFill="1" applyBorder="1" applyAlignment="1">
      <alignment horizontal="center"/>
    </xf>
    <xf numFmtId="0" fontId="0" fillId="12" borderId="1" xfId="0" applyFill="1" applyBorder="1" applyAlignment="1">
      <alignment horizontal="left"/>
    </xf>
    <xf numFmtId="166" fontId="0" fillId="12" borderId="0" xfId="1" applyNumberFormat="1" applyFont="1" applyFill="1" applyBorder="1"/>
    <xf numFmtId="166" fontId="0" fillId="12" borderId="2" xfId="1" applyNumberFormat="1" applyFont="1" applyFill="1" applyBorder="1"/>
    <xf numFmtId="1" fontId="0" fillId="12" borderId="0" xfId="1" applyNumberFormat="1" applyFont="1" applyFill="1" applyBorder="1" applyAlignment="1">
      <alignment horizontal="center"/>
    </xf>
    <xf numFmtId="1" fontId="0" fillId="12" borderId="2" xfId="1" applyNumberFormat="1" applyFont="1" applyFill="1" applyBorder="1" applyAlignment="1">
      <alignment horizontal="center"/>
    </xf>
    <xf numFmtId="166" fontId="0" fillId="0" borderId="0" xfId="0" applyNumberFormat="1"/>
    <xf numFmtId="0" fontId="16" fillId="0" borderId="31" xfId="0" applyFont="1" applyBorder="1" applyAlignment="1">
      <alignment horizontal="center" vertical="center" wrapText="1"/>
    </xf>
    <xf numFmtId="0" fontId="0" fillId="13" borderId="0" xfId="0" applyFill="1"/>
    <xf numFmtId="6" fontId="6" fillId="0" borderId="1" xfId="0" applyNumberFormat="1" applyFont="1" applyBorder="1" applyAlignment="1">
      <alignment horizontal="center"/>
    </xf>
    <xf numFmtId="6" fontId="6" fillId="0" borderId="3" xfId="0" applyNumberFormat="1" applyFont="1" applyBorder="1" applyAlignment="1">
      <alignment horizontal="center"/>
    </xf>
    <xf numFmtId="0" fontId="17" fillId="0" borderId="0" xfId="0" applyFont="1"/>
    <xf numFmtId="0" fontId="17" fillId="14" borderId="0" xfId="0" applyFont="1" applyFill="1"/>
    <xf numFmtId="166" fontId="17" fillId="0" borderId="0" xfId="0" applyNumberFormat="1" applyFont="1"/>
    <xf numFmtId="166" fontId="0" fillId="0" borderId="4" xfId="0" applyNumberFormat="1" applyBorder="1"/>
    <xf numFmtId="166" fontId="0" fillId="15" borderId="0" xfId="0" applyNumberFormat="1" applyFill="1"/>
    <xf numFmtId="166" fontId="17" fillId="15" borderId="0" xfId="0" applyNumberFormat="1" applyFont="1" applyFill="1"/>
    <xf numFmtId="166" fontId="0" fillId="10" borderId="0" xfId="0" applyNumberFormat="1" applyFill="1"/>
    <xf numFmtId="166" fontId="17" fillId="10" borderId="0" xfId="0" applyNumberFormat="1" applyFont="1" applyFill="1"/>
    <xf numFmtId="0" fontId="0" fillId="12" borderId="0" xfId="2" applyNumberFormat="1" applyFont="1" applyFill="1" applyBorder="1" applyAlignment="1">
      <alignment horizontal="center" vertical="center"/>
    </xf>
    <xf numFmtId="0" fontId="0" fillId="3" borderId="0" xfId="2" applyNumberFormat="1" applyFont="1" applyFill="1" applyBorder="1" applyAlignment="1">
      <alignment horizontal="center" vertical="center"/>
    </xf>
    <xf numFmtId="0" fontId="0" fillId="2" borderId="11" xfId="0" applyFill="1" applyBorder="1"/>
    <xf numFmtId="0" fontId="0" fillId="2" borderId="12" xfId="0" applyFill="1" applyBorder="1"/>
    <xf numFmtId="0" fontId="0" fillId="2" borderId="13" xfId="0" applyFill="1" applyBorder="1"/>
    <xf numFmtId="0" fontId="0" fillId="12" borderId="1" xfId="0" applyFill="1" applyBorder="1"/>
    <xf numFmtId="0" fontId="0" fillId="12" borderId="0" xfId="0" applyFill="1"/>
    <xf numFmtId="0" fontId="0" fillId="12" borderId="2" xfId="0" applyFill="1" applyBorder="1"/>
    <xf numFmtId="0" fontId="0" fillId="3" borderId="2" xfId="0" applyFill="1" applyBorder="1"/>
    <xf numFmtId="0" fontId="17" fillId="16" borderId="0" xfId="0" applyFont="1" applyFill="1" applyAlignment="1">
      <alignment horizontal="center"/>
    </xf>
    <xf numFmtId="0" fontId="17" fillId="16" borderId="0" xfId="0" applyFont="1" applyFill="1"/>
    <xf numFmtId="0" fontId="0" fillId="2" borderId="0" xfId="0" applyFill="1" applyAlignment="1">
      <alignment horizontal="left"/>
    </xf>
    <xf numFmtId="0" fontId="18" fillId="0" borderId="30" xfId="0" applyFont="1" applyBorder="1" applyAlignment="1">
      <alignment wrapText="1"/>
    </xf>
    <xf numFmtId="0" fontId="18" fillId="0" borderId="33" xfId="0" applyFont="1" applyBorder="1" applyAlignment="1">
      <alignment wrapText="1"/>
    </xf>
    <xf numFmtId="0" fontId="19" fillId="16" borderId="0" xfId="0" applyFont="1" applyFill="1"/>
    <xf numFmtId="0" fontId="18" fillId="0" borderId="10" xfId="0" applyFont="1" applyBorder="1" applyAlignment="1">
      <alignment wrapText="1"/>
    </xf>
    <xf numFmtId="0" fontId="19" fillId="0" borderId="1" xfId="0" applyFont="1" applyBorder="1"/>
    <xf numFmtId="0" fontId="19" fillId="0" borderId="2" xfId="0" applyFont="1" applyBorder="1" applyAlignment="1">
      <alignment wrapText="1"/>
    </xf>
    <xf numFmtId="0" fontId="19" fillId="17" borderId="1" xfId="0" applyFont="1" applyFill="1" applyBorder="1"/>
    <xf numFmtId="0" fontId="19" fillId="17" borderId="0" xfId="0" applyFont="1" applyFill="1"/>
    <xf numFmtId="0" fontId="19" fillId="0" borderId="0" xfId="0" applyFont="1"/>
    <xf numFmtId="0" fontId="19" fillId="18" borderId="1" xfId="0" applyFont="1" applyFill="1" applyBorder="1"/>
    <xf numFmtId="0" fontId="19" fillId="18" borderId="2" xfId="0" applyFont="1" applyFill="1" applyBorder="1"/>
    <xf numFmtId="0" fontId="19" fillId="0" borderId="2" xfId="0" applyFont="1" applyBorder="1"/>
    <xf numFmtId="0" fontId="19" fillId="19" borderId="1" xfId="0" applyFont="1" applyFill="1" applyBorder="1"/>
    <xf numFmtId="0" fontId="19" fillId="19" borderId="0" xfId="0" applyFont="1" applyFill="1"/>
    <xf numFmtId="0" fontId="19" fillId="0" borderId="3" xfId="0" applyFont="1" applyBorder="1"/>
    <xf numFmtId="0" fontId="19" fillId="0" borderId="5" xfId="0" applyFont="1" applyBorder="1"/>
    <xf numFmtId="0" fontId="19" fillId="17" borderId="2" xfId="0" applyFont="1" applyFill="1" applyBorder="1"/>
    <xf numFmtId="0" fontId="19" fillId="20" borderId="0" xfId="0" applyFont="1" applyFill="1"/>
    <xf numFmtId="0" fontId="19" fillId="20" borderId="4" xfId="0" applyFont="1" applyFill="1" applyBorder="1"/>
    <xf numFmtId="0" fontId="19" fillId="20" borderId="5" xfId="0" applyFont="1" applyFill="1" applyBorder="1"/>
    <xf numFmtId="0" fontId="19" fillId="18" borderId="0" xfId="0" applyFont="1" applyFill="1"/>
    <xf numFmtId="0" fontId="19" fillId="0" borderId="4" xfId="0" applyFont="1" applyBorder="1"/>
    <xf numFmtId="0" fontId="0" fillId="21" borderId="0" xfId="0" applyFill="1"/>
    <xf numFmtId="1" fontId="0" fillId="2" borderId="0" xfId="0" applyNumberFormat="1" applyFill="1"/>
    <xf numFmtId="0" fontId="1" fillId="12" borderId="6" xfId="0" applyFont="1" applyFill="1" applyBorder="1" applyAlignment="1">
      <alignment horizontal="center" vertical="center"/>
    </xf>
    <xf numFmtId="0" fontId="1" fillId="12" borderId="7" xfId="0" applyFont="1" applyFill="1" applyBorder="1" applyAlignment="1">
      <alignment horizontal="center" vertical="center"/>
    </xf>
    <xf numFmtId="0" fontId="1" fillId="22" borderId="14" xfId="0" applyFont="1" applyFill="1" applyBorder="1" applyAlignment="1">
      <alignment horizontal="center" vertical="center"/>
    </xf>
    <xf numFmtId="0" fontId="1" fillId="22" borderId="24" xfId="0" applyFont="1" applyFill="1" applyBorder="1" applyAlignment="1">
      <alignment horizontal="center" vertical="center"/>
    </xf>
    <xf numFmtId="0" fontId="1" fillId="22" borderId="7" xfId="0" applyFont="1" applyFill="1" applyBorder="1" applyAlignment="1">
      <alignment horizontal="center" vertical="center"/>
    </xf>
    <xf numFmtId="0" fontId="1" fillId="22" borderId="6" xfId="0" applyFont="1" applyFill="1" applyBorder="1" applyAlignment="1">
      <alignment horizontal="center" vertical="center"/>
    </xf>
    <xf numFmtId="0" fontId="0" fillId="2" borderId="34" xfId="0" applyFill="1" applyBorder="1"/>
    <xf numFmtId="0" fontId="0" fillId="2" borderId="34" xfId="0" applyFill="1" applyBorder="1" applyAlignment="1">
      <alignment horizontal="center"/>
    </xf>
    <xf numFmtId="1" fontId="0" fillId="2" borderId="34" xfId="0" applyNumberFormat="1" applyFill="1" applyBorder="1"/>
    <xf numFmtId="0" fontId="1" fillId="8" borderId="24" xfId="0" applyFont="1" applyFill="1" applyBorder="1" applyAlignment="1">
      <alignment vertical="center"/>
    </xf>
    <xf numFmtId="0" fontId="1" fillId="8" borderId="7" xfId="0" applyFont="1" applyFill="1" applyBorder="1" applyAlignment="1">
      <alignment vertical="center"/>
    </xf>
    <xf numFmtId="0" fontId="1" fillId="12" borderId="7" xfId="0" applyFont="1" applyFill="1" applyBorder="1" applyAlignment="1">
      <alignment vertical="center"/>
    </xf>
    <xf numFmtId="0" fontId="1" fillId="21" borderId="6" xfId="0" applyFont="1" applyFill="1" applyBorder="1" applyAlignment="1">
      <alignment horizontal="center" vertical="center"/>
    </xf>
    <xf numFmtId="0" fontId="1" fillId="12" borderId="29" xfId="0" applyFont="1" applyFill="1" applyBorder="1" applyAlignment="1">
      <alignment vertical="center"/>
    </xf>
    <xf numFmtId="0" fontId="20" fillId="2" borderId="0" xfId="0" applyFont="1" applyFill="1"/>
    <xf numFmtId="0" fontId="21" fillId="2" borderId="0" xfId="0" applyFont="1" applyFill="1"/>
    <xf numFmtId="0" fontId="1" fillId="0" borderId="34" xfId="0" applyFont="1" applyBorder="1" applyAlignment="1">
      <alignment horizontal="center" vertical="center" wrapText="1"/>
    </xf>
    <xf numFmtId="0" fontId="4" fillId="0" borderId="34" xfId="0" applyFont="1" applyBorder="1" applyAlignment="1">
      <alignment horizontal="center" vertical="center" wrapText="1"/>
    </xf>
    <xf numFmtId="0" fontId="0" fillId="12" borderId="34" xfId="0" applyFill="1" applyBorder="1" applyAlignment="1">
      <alignment horizontal="left"/>
    </xf>
    <xf numFmtId="1" fontId="0" fillId="12" borderId="34" xfId="1" applyNumberFormat="1" applyFont="1" applyFill="1" applyBorder="1" applyAlignment="1">
      <alignment horizontal="center"/>
    </xf>
    <xf numFmtId="1" fontId="0" fillId="5" borderId="34" xfId="1" applyNumberFormat="1" applyFont="1" applyFill="1" applyBorder="1" applyAlignment="1">
      <alignment horizontal="center"/>
    </xf>
    <xf numFmtId="0" fontId="0" fillId="3" borderId="34" xfId="0" applyFill="1" applyBorder="1" applyAlignment="1">
      <alignment horizontal="left"/>
    </xf>
    <xf numFmtId="1" fontId="0" fillId="3" borderId="34" xfId="1" applyNumberFormat="1" applyFont="1" applyFill="1" applyBorder="1" applyAlignment="1">
      <alignment horizontal="center"/>
    </xf>
    <xf numFmtId="1" fontId="0" fillId="10" borderId="0" xfId="1" applyNumberFormat="1" applyFont="1" applyFill="1" applyBorder="1" applyAlignment="1">
      <alignment horizontal="center"/>
    </xf>
    <xf numFmtId="1" fontId="0" fillId="23" borderId="4" xfId="1" applyNumberFormat="1" applyFont="1" applyFill="1" applyBorder="1" applyAlignment="1">
      <alignment horizontal="center"/>
    </xf>
    <xf numFmtId="1" fontId="0" fillId="12" borderId="0" xfId="1" applyNumberFormat="1" applyFont="1" applyFill="1" applyAlignment="1">
      <alignment horizontal="center"/>
    </xf>
    <xf numFmtId="1" fontId="0" fillId="23" borderId="0" xfId="1" applyNumberFormat="1" applyFont="1" applyFill="1" applyAlignment="1">
      <alignment horizontal="center"/>
    </xf>
    <xf numFmtId="1" fontId="0" fillId="10" borderId="0" xfId="1" applyNumberFormat="1" applyFont="1" applyFill="1" applyAlignment="1">
      <alignment horizontal="center"/>
    </xf>
    <xf numFmtId="1" fontId="0" fillId="3" borderId="0" xfId="1" applyNumberFormat="1" applyFont="1" applyFill="1" applyAlignment="1">
      <alignment horizontal="center"/>
    </xf>
    <xf numFmtId="1" fontId="0" fillId="5" borderId="0" xfId="1" applyNumberFormat="1" applyFont="1" applyFill="1" applyAlignment="1">
      <alignment horizontal="center"/>
    </xf>
    <xf numFmtId="0" fontId="4" fillId="22" borderId="31" xfId="0" applyFont="1" applyFill="1" applyBorder="1" applyAlignment="1">
      <alignment horizontal="center" vertical="center" wrapText="1"/>
    </xf>
    <xf numFmtId="1" fontId="0" fillId="22" borderId="0" xfId="1" applyNumberFormat="1" applyFont="1" applyFill="1" applyAlignment="1">
      <alignment horizontal="center"/>
    </xf>
    <xf numFmtId="1" fontId="0" fillId="22" borderId="4" xfId="1" applyNumberFormat="1" applyFont="1" applyFill="1" applyBorder="1" applyAlignment="1">
      <alignment horizontal="center"/>
    </xf>
    <xf numFmtId="44" fontId="0" fillId="2" borderId="0" xfId="0" applyNumberFormat="1" applyFill="1"/>
    <xf numFmtId="0" fontId="0" fillId="24" borderId="0" xfId="0" applyFill="1"/>
    <xf numFmtId="44" fontId="17" fillId="0" borderId="0" xfId="0" applyNumberFormat="1" applyFont="1"/>
    <xf numFmtId="3" fontId="0" fillId="2" borderId="0" xfId="0" applyNumberFormat="1" applyFill="1"/>
    <xf numFmtId="166" fontId="0" fillId="2" borderId="0" xfId="0" applyNumberFormat="1" applyFill="1"/>
    <xf numFmtId="0" fontId="16" fillId="22" borderId="31" xfId="0" applyFont="1" applyFill="1" applyBorder="1" applyAlignment="1">
      <alignment horizontal="center" vertical="center" wrapText="1"/>
    </xf>
    <xf numFmtId="166" fontId="0" fillId="22" borderId="0" xfId="1" applyNumberFormat="1" applyFont="1" applyFill="1" applyBorder="1"/>
    <xf numFmtId="0" fontId="22" fillId="0" borderId="0" xfId="0" applyFont="1"/>
    <xf numFmtId="0" fontId="22" fillId="21" borderId="0" xfId="0" applyFont="1" applyFill="1"/>
    <xf numFmtId="0" fontId="23" fillId="0" borderId="0" xfId="0" applyFont="1"/>
    <xf numFmtId="0" fontId="0" fillId="2" borderId="0" xfId="0" applyFill="1" applyAlignment="1">
      <alignment horizontal="right"/>
    </xf>
    <xf numFmtId="0" fontId="0" fillId="22" borderId="0" xfId="0" applyFill="1"/>
    <xf numFmtId="164" fontId="0" fillId="2" borderId="0" xfId="0" applyNumberFormat="1" applyFill="1"/>
    <xf numFmtId="0" fontId="0" fillId="25" borderId="0" xfId="0" applyFill="1"/>
    <xf numFmtId="164" fontId="0" fillId="25" borderId="0" xfId="0" applyNumberFormat="1" applyFill="1"/>
    <xf numFmtId="167" fontId="0" fillId="2" borderId="0" xfId="0" applyNumberFormat="1" applyFill="1"/>
    <xf numFmtId="2" fontId="0" fillId="2" borderId="0" xfId="1" applyNumberFormat="1" applyFont="1" applyFill="1"/>
    <xf numFmtId="164" fontId="0" fillId="25" borderId="34" xfId="0" applyNumberFormat="1" applyFill="1" applyBorder="1"/>
    <xf numFmtId="0" fontId="0" fillId="25" borderId="34" xfId="0" applyFill="1" applyBorder="1"/>
    <xf numFmtId="166" fontId="0" fillId="25" borderId="34" xfId="0" applyNumberFormat="1" applyFill="1" applyBorder="1"/>
    <xf numFmtId="0" fontId="0" fillId="21" borderId="0" xfId="2" applyNumberFormat="1" applyFont="1" applyFill="1" applyBorder="1" applyAlignment="1">
      <alignment horizontal="center" vertical="center"/>
    </xf>
    <xf numFmtId="1" fontId="0" fillId="4" borderId="0" xfId="1" applyNumberFormat="1" applyFont="1" applyFill="1" applyAlignment="1">
      <alignment horizontal="center"/>
    </xf>
    <xf numFmtId="0" fontId="24" fillId="0" borderId="0" xfId="0" applyFont="1"/>
    <xf numFmtId="0" fontId="0" fillId="4" borderId="1" xfId="0" applyFill="1" applyBorder="1" applyAlignment="1">
      <alignment horizontal="center" vertical="center"/>
    </xf>
    <xf numFmtId="0" fontId="0" fillId="4" borderId="0" xfId="0" applyFill="1" applyAlignment="1">
      <alignment horizontal="center" vertical="center"/>
    </xf>
    <xf numFmtId="166" fontId="0" fillId="4" borderId="0" xfId="1" applyNumberFormat="1" applyFont="1" applyFill="1" applyBorder="1" applyAlignment="1">
      <alignment horizontal="center" vertical="center"/>
    </xf>
    <xf numFmtId="9" fontId="0" fillId="4" borderId="2" xfId="2" applyFont="1" applyFill="1" applyBorder="1" applyAlignment="1">
      <alignment horizontal="center" vertical="center"/>
    </xf>
    <xf numFmtId="0" fontId="0" fillId="4" borderId="0" xfId="2" applyNumberFormat="1" applyFont="1" applyFill="1" applyBorder="1" applyAlignment="1">
      <alignment horizontal="center" vertical="center"/>
    </xf>
    <xf numFmtId="0" fontId="0" fillId="4" borderId="1" xfId="0" applyFill="1" applyBorder="1"/>
    <xf numFmtId="0" fontId="0" fillId="12" borderId="5" xfId="0" applyFill="1" applyBorder="1"/>
    <xf numFmtId="168" fontId="0" fillId="0" borderId="0" xfId="0" applyNumberFormat="1"/>
    <xf numFmtId="0" fontId="0" fillId="0" borderId="34" xfId="0" applyBorder="1"/>
    <xf numFmtId="168" fontId="0" fillId="0" borderId="34" xfId="0" applyNumberFormat="1" applyBorder="1"/>
    <xf numFmtId="164" fontId="0" fillId="0" borderId="34" xfId="0" applyNumberFormat="1" applyBorder="1"/>
    <xf numFmtId="164" fontId="0" fillId="0" borderId="35" xfId="0" applyNumberFormat="1" applyBorder="1"/>
    <xf numFmtId="0" fontId="1" fillId="0" borderId="27" xfId="0" applyFont="1" applyBorder="1" applyAlignment="1">
      <alignment horizontal="center" vertical="center"/>
    </xf>
    <xf numFmtId="0" fontId="1" fillId="11" borderId="14" xfId="0" applyFont="1" applyFill="1" applyBorder="1" applyAlignment="1">
      <alignment horizontal="center" vertical="center" wrapText="1"/>
    </xf>
    <xf numFmtId="17" fontId="1" fillId="7" borderId="27" xfId="0" applyNumberFormat="1" applyFont="1" applyFill="1" applyBorder="1" applyAlignment="1">
      <alignment horizontal="center" vertical="center"/>
    </xf>
    <xf numFmtId="0" fontId="1" fillId="0" borderId="34" xfId="0" applyFont="1" applyBorder="1" applyAlignment="1">
      <alignment horizontal="center" vertical="center"/>
    </xf>
    <xf numFmtId="0" fontId="1" fillId="0" borderId="36" xfId="0" applyFont="1" applyBorder="1" applyAlignment="1">
      <alignment horizontal="center" vertical="center" wrapText="1"/>
    </xf>
    <xf numFmtId="0" fontId="1" fillId="0" borderId="27" xfId="0" applyFont="1" applyBorder="1" applyAlignment="1">
      <alignment horizontal="center" vertical="center" wrapText="1"/>
    </xf>
    <xf numFmtId="0" fontId="1" fillId="8" borderId="38" xfId="0" applyFont="1" applyFill="1" applyBorder="1" applyAlignment="1">
      <alignment horizontal="center" vertical="center"/>
    </xf>
    <xf numFmtId="0" fontId="1" fillId="11" borderId="27" xfId="0" applyFont="1" applyFill="1" applyBorder="1" applyAlignment="1">
      <alignment horizontal="center" vertical="center" wrapText="1"/>
    </xf>
    <xf numFmtId="0" fontId="1" fillId="11" borderId="6" xfId="0" applyFont="1" applyFill="1" applyBorder="1" applyAlignment="1">
      <alignment horizontal="center" vertical="center" wrapText="1"/>
    </xf>
    <xf numFmtId="164" fontId="0" fillId="0" borderId="0" xfId="0" applyNumberFormat="1"/>
    <xf numFmtId="0" fontId="0" fillId="4" borderId="1" xfId="0" applyFill="1" applyBorder="1" applyAlignment="1">
      <alignment horizontal="left"/>
    </xf>
    <xf numFmtId="166" fontId="0" fillId="4" borderId="0" xfId="1" applyNumberFormat="1" applyFont="1" applyFill="1" applyBorder="1"/>
    <xf numFmtId="166" fontId="0" fillId="4" borderId="2" xfId="1" applyNumberFormat="1" applyFont="1" applyFill="1" applyBorder="1"/>
    <xf numFmtId="0" fontId="0" fillId="4" borderId="0" xfId="0" applyFill="1"/>
    <xf numFmtId="0" fontId="0" fillId="12" borderId="3" xfId="0" applyFill="1" applyBorder="1" applyAlignment="1">
      <alignment horizontal="center" vertical="center"/>
    </xf>
    <xf numFmtId="0" fontId="0" fillId="12" borderId="4" xfId="0" applyFill="1" applyBorder="1" applyAlignment="1">
      <alignment horizontal="center" vertical="center"/>
    </xf>
    <xf numFmtId="166" fontId="0" fillId="12" borderId="4" xfId="1" applyNumberFormat="1" applyFont="1" applyFill="1" applyBorder="1" applyAlignment="1">
      <alignment horizontal="center" vertical="center"/>
    </xf>
    <xf numFmtId="9" fontId="0" fillId="12" borderId="5" xfId="2" applyFont="1" applyFill="1" applyBorder="1" applyAlignment="1">
      <alignment horizontal="center" vertical="center"/>
    </xf>
    <xf numFmtId="0" fontId="0" fillId="12" borderId="4" xfId="2" applyNumberFormat="1" applyFont="1" applyFill="1" applyBorder="1" applyAlignment="1">
      <alignment horizontal="center" vertical="center"/>
    </xf>
    <xf numFmtId="9" fontId="0" fillId="0" borderId="0" xfId="0" applyNumberFormat="1"/>
    <xf numFmtId="44" fontId="0" fillId="0" borderId="34" xfId="0" applyNumberFormat="1" applyBorder="1"/>
    <xf numFmtId="1" fontId="0" fillId="12" borderId="4" xfId="1" applyNumberFormat="1" applyFont="1" applyFill="1" applyBorder="1" applyAlignment="1">
      <alignment horizontal="center"/>
    </xf>
    <xf numFmtId="1" fontId="0" fillId="0" borderId="0" xfId="0" applyNumberFormat="1"/>
    <xf numFmtId="0" fontId="0" fillId="26" borderId="40" xfId="0" applyFill="1" applyBorder="1" applyAlignment="1">
      <alignment horizontal="center" vertical="center"/>
    </xf>
    <xf numFmtId="0" fontId="0" fillId="26" borderId="41" xfId="0" applyFill="1" applyBorder="1" applyAlignment="1">
      <alignment horizontal="center" vertical="center"/>
    </xf>
    <xf numFmtId="1" fontId="0" fillId="26" borderId="42" xfId="1" applyNumberFormat="1" applyFont="1" applyFill="1" applyBorder="1" applyAlignment="1">
      <alignment horizontal="center"/>
    </xf>
    <xf numFmtId="0" fontId="0" fillId="26" borderId="43" xfId="0" applyFill="1" applyBorder="1" applyAlignment="1">
      <alignment horizontal="center" vertical="center"/>
    </xf>
    <xf numFmtId="0" fontId="0" fillId="26" borderId="0" xfId="0" applyFill="1" applyAlignment="1">
      <alignment horizontal="center" vertical="center"/>
    </xf>
    <xf numFmtId="1" fontId="0" fillId="26" borderId="44" xfId="1" applyNumberFormat="1" applyFont="1" applyFill="1" applyBorder="1" applyAlignment="1">
      <alignment horizontal="center"/>
    </xf>
    <xf numFmtId="0" fontId="0" fillId="26" borderId="45" xfId="0" applyFill="1" applyBorder="1" applyAlignment="1">
      <alignment horizontal="center" vertical="center"/>
    </xf>
    <xf numFmtId="0" fontId="0" fillId="26" borderId="46" xfId="0" applyFill="1" applyBorder="1" applyAlignment="1">
      <alignment horizontal="center" vertical="center"/>
    </xf>
    <xf numFmtId="1" fontId="0" fillId="23" borderId="47" xfId="1" applyNumberFormat="1" applyFont="1" applyFill="1" applyBorder="1" applyAlignment="1">
      <alignment horizontal="center"/>
    </xf>
    <xf numFmtId="0" fontId="17" fillId="26" borderId="0" xfId="0" applyFont="1" applyFill="1" applyAlignment="1">
      <alignment horizontal="center" vertical="center" wrapText="1"/>
    </xf>
    <xf numFmtId="0" fontId="0" fillId="0" borderId="34" xfId="0" applyBorder="1" applyAlignment="1">
      <alignment horizontal="center"/>
    </xf>
    <xf numFmtId="0" fontId="0" fillId="0" borderId="0" xfId="0" applyAlignment="1">
      <alignment horizontal="center"/>
    </xf>
    <xf numFmtId="168" fontId="0" fillId="0" borderId="34" xfId="0" applyNumberFormat="1" applyBorder="1" applyAlignment="1">
      <alignment horizontal="center"/>
    </xf>
    <xf numFmtId="0" fontId="12" fillId="6" borderId="8" xfId="0" applyFont="1" applyFill="1" applyBorder="1" applyAlignment="1">
      <alignment horizontal="center"/>
    </xf>
    <xf numFmtId="0" fontId="12" fillId="6" borderId="10" xfId="0" applyFont="1" applyFill="1" applyBorder="1" applyAlignment="1">
      <alignment horizontal="center"/>
    </xf>
    <xf numFmtId="0" fontId="7" fillId="0" borderId="34" xfId="0" applyFont="1" applyBorder="1" applyAlignment="1">
      <alignment horizontal="center"/>
    </xf>
    <xf numFmtId="0" fontId="15" fillId="9" borderId="21" xfId="0" applyFont="1" applyFill="1" applyBorder="1" applyAlignment="1">
      <alignment horizontal="center"/>
    </xf>
    <xf numFmtId="0" fontId="15" fillId="9" borderId="22" xfId="0" applyFont="1" applyFill="1" applyBorder="1" applyAlignment="1">
      <alignment horizontal="center"/>
    </xf>
    <xf numFmtId="0" fontId="15" fillId="9" borderId="23" xfId="0" applyFont="1" applyFill="1" applyBorder="1" applyAlignment="1">
      <alignment horizontal="center"/>
    </xf>
    <xf numFmtId="0" fontId="1" fillId="0" borderId="14"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14" xfId="0" applyFont="1" applyBorder="1" applyAlignment="1">
      <alignment horizontal="center" vertical="center"/>
    </xf>
    <xf numFmtId="0" fontId="1" fillId="0" borderId="18" xfId="0" applyFont="1" applyBorder="1" applyAlignment="1">
      <alignment horizontal="center" vertical="center"/>
    </xf>
    <xf numFmtId="0" fontId="1" fillId="0" borderId="16" xfId="0" applyFont="1" applyBorder="1" applyAlignment="1">
      <alignment horizontal="center" vertical="center"/>
    </xf>
    <xf numFmtId="0" fontId="1" fillId="0" borderId="19" xfId="0" applyFont="1" applyBorder="1" applyAlignment="1">
      <alignment horizontal="center" vertical="center"/>
    </xf>
    <xf numFmtId="0" fontId="1" fillId="10" borderId="24" xfId="0" applyFont="1" applyFill="1" applyBorder="1" applyAlignment="1">
      <alignment horizontal="center" vertical="center"/>
    </xf>
    <xf numFmtId="0" fontId="1" fillId="10" borderId="7" xfId="0" applyFont="1" applyFill="1" applyBorder="1" applyAlignment="1">
      <alignment horizontal="center" vertical="center"/>
    </xf>
    <xf numFmtId="0" fontId="1" fillId="10" borderId="6" xfId="0" applyFont="1" applyFill="1" applyBorder="1" applyAlignment="1">
      <alignment horizontal="center" vertical="center"/>
    </xf>
    <xf numFmtId="0" fontId="1" fillId="8" borderId="24" xfId="0" applyFont="1" applyFill="1" applyBorder="1" applyAlignment="1">
      <alignment horizontal="center" vertical="center"/>
    </xf>
    <xf numFmtId="0" fontId="1" fillId="8" borderId="7" xfId="0" applyFont="1" applyFill="1" applyBorder="1" applyAlignment="1">
      <alignment horizontal="center" vertical="center"/>
    </xf>
    <xf numFmtId="0" fontId="1" fillId="8" borderId="6" xfId="0" applyFont="1" applyFill="1" applyBorder="1" applyAlignment="1">
      <alignment horizontal="center" vertical="center"/>
    </xf>
    <xf numFmtId="0" fontId="1" fillId="22" borderId="24" xfId="0" applyFont="1" applyFill="1" applyBorder="1" applyAlignment="1">
      <alignment horizontal="center" vertical="center"/>
    </xf>
    <xf numFmtId="0" fontId="1" fillId="22" borderId="7" xfId="0" applyFont="1" applyFill="1" applyBorder="1" applyAlignment="1">
      <alignment horizontal="center" vertical="center"/>
    </xf>
    <xf numFmtId="0" fontId="1" fillId="10" borderId="25" xfId="0" applyFont="1" applyFill="1" applyBorder="1" applyAlignment="1">
      <alignment horizontal="center" vertical="center"/>
    </xf>
    <xf numFmtId="0" fontId="1" fillId="10" borderId="26" xfId="0" applyFont="1" applyFill="1" applyBorder="1" applyAlignment="1">
      <alignment horizontal="center" vertical="center"/>
    </xf>
    <xf numFmtId="0" fontId="1" fillId="10" borderId="20" xfId="0" applyFont="1" applyFill="1" applyBorder="1" applyAlignment="1">
      <alignment horizontal="center" vertical="center"/>
    </xf>
    <xf numFmtId="0" fontId="1" fillId="22" borderId="6" xfId="0" applyFont="1" applyFill="1" applyBorder="1" applyAlignment="1">
      <alignment horizontal="center" vertical="center"/>
    </xf>
    <xf numFmtId="0" fontId="1" fillId="21" borderId="7" xfId="0" applyFont="1" applyFill="1" applyBorder="1" applyAlignment="1">
      <alignment horizontal="center" vertical="center"/>
    </xf>
    <xf numFmtId="0" fontId="1" fillId="21" borderId="6" xfId="0" applyFont="1" applyFill="1" applyBorder="1" applyAlignment="1">
      <alignment horizontal="center" vertical="center"/>
    </xf>
    <xf numFmtId="0" fontId="13" fillId="6" borderId="9" xfId="0" applyFont="1" applyFill="1" applyBorder="1" applyAlignment="1">
      <alignment horizontal="center"/>
    </xf>
    <xf numFmtId="0" fontId="13" fillId="6" borderId="10" xfId="0" applyFont="1" applyFill="1" applyBorder="1" applyAlignment="1">
      <alignment horizontal="center"/>
    </xf>
    <xf numFmtId="0" fontId="12" fillId="6" borderId="9" xfId="0" applyFont="1" applyFill="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xf>
    <xf numFmtId="0" fontId="1" fillId="10" borderId="34" xfId="0" applyFont="1" applyFill="1" applyBorder="1" applyAlignment="1">
      <alignment horizontal="center" vertical="center" wrapText="1"/>
    </xf>
    <xf numFmtId="0" fontId="1" fillId="10" borderId="34" xfId="0" applyFont="1" applyFill="1" applyBorder="1" applyAlignment="1">
      <alignment horizontal="center" vertical="center"/>
    </xf>
    <xf numFmtId="0" fontId="1" fillId="0" borderId="37"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39" xfId="0" applyFont="1" applyBorder="1" applyAlignment="1">
      <alignment horizontal="center" vertical="center"/>
    </xf>
    <xf numFmtId="0" fontId="1" fillId="10" borderId="24" xfId="0" applyFont="1" applyFill="1" applyBorder="1" applyAlignment="1">
      <alignment horizontal="center" vertical="center" wrapText="1"/>
    </xf>
    <xf numFmtId="0" fontId="12" fillId="6" borderId="8" xfId="0" applyFont="1" applyFill="1" applyBorder="1" applyAlignment="1">
      <alignment horizontal="center" vertical="center"/>
    </xf>
    <xf numFmtId="0" fontId="12" fillId="6" borderId="9" xfId="0" applyFont="1" applyFill="1" applyBorder="1" applyAlignment="1">
      <alignment horizontal="center" vertical="center"/>
    </xf>
    <xf numFmtId="0" fontId="13" fillId="6" borderId="9" xfId="0" applyFont="1" applyFill="1" applyBorder="1" applyAlignment="1">
      <alignment horizontal="center" vertical="center"/>
    </xf>
    <xf numFmtId="0" fontId="13" fillId="6" borderId="10"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7" fillId="0" borderId="8"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cellXfs>
  <cellStyles count="3">
    <cellStyle name="Currency" xfId="1" builtinId="4"/>
    <cellStyle name="Normal" xfId="0" builtinId="0"/>
    <cellStyle name="Per cent" xfId="2" builtinId="5"/>
  </cellStyles>
  <dxfs count="36">
    <dxf>
      <numFmt numFmtId="13" formatCode="0%"/>
    </dxf>
    <dxf>
      <numFmt numFmtId="166" formatCode="_(&quot;$&quot;* #,##0_);_(&quot;$&quot;* \(#,##0\);_(&quot;$&quot;* &quot;-&quot;??_);_(@_)"/>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ichStyles" Target="richData/richStyle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Array" Target="richData/rdarray.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microsoft.com/office/2017/06/relationships/rdSupportingPropertyBag" Target="richData/rdsupportingpropertybag.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0/07/relationships/rdRichValueWebImage" Target="richData/rdRichValueWebImage.xml"/><Relationship Id="rId27" Type="http://schemas.microsoft.com/office/2017/06/relationships/rdSupportingPropertyBagStructure" Target="richData/rdsupportingpropertybagstructure.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'Exhibit 0 (Schedule)'!$W$59</c:f>
              <c:strCache>
                <c:ptCount val="1"/>
                <c:pt idx="0">
                  <c:v>Gate Valve</c:v>
                </c:pt>
              </c:strCache>
            </c:strRef>
          </c:tx>
          <c:spPr>
            <a:solidFill>
              <a:schemeClr val="accent1"/>
            </a:solidFill>
            <a:ln>
              <a:noFill/>
            </a:ln>
            <a:effectLst/>
          </c:spPr>
          <c:invertIfNegative val="0"/>
          <c:cat>
            <c:strRef>
              <c:f>'Exhibit 0 (Schedule)'!$V$60:$V$70</c:f>
              <c:strCache>
                <c:ptCount val="11"/>
                <c:pt idx="0">
                  <c:v>Supplier 11</c:v>
                </c:pt>
                <c:pt idx="1">
                  <c:v>Supplier 7</c:v>
                </c:pt>
                <c:pt idx="2">
                  <c:v>Supplier 4</c:v>
                </c:pt>
                <c:pt idx="3">
                  <c:v>Supplier 6</c:v>
                </c:pt>
                <c:pt idx="4">
                  <c:v>Supplier 2</c:v>
                </c:pt>
                <c:pt idx="5">
                  <c:v>Supplier 3</c:v>
                </c:pt>
                <c:pt idx="6">
                  <c:v>Supplier 5</c:v>
                </c:pt>
                <c:pt idx="7">
                  <c:v>Supplier 8</c:v>
                </c:pt>
                <c:pt idx="8">
                  <c:v>Supplier 1</c:v>
                </c:pt>
                <c:pt idx="9">
                  <c:v>Supplier 9</c:v>
                </c:pt>
                <c:pt idx="10">
                  <c:v>Supplier 10</c:v>
                </c:pt>
              </c:strCache>
            </c:strRef>
          </c:cat>
          <c:val>
            <c:numRef>
              <c:f>'Exhibit 0 (Schedule)'!$W$60:$W$70</c:f>
              <c:numCache>
                <c:formatCode>0</c:formatCode>
                <c:ptCount val="11"/>
                <c:pt idx="0">
                  <c:v>114</c:v>
                </c:pt>
                <c:pt idx="1">
                  <c:v>124</c:v>
                </c:pt>
                <c:pt idx="2">
                  <c:v>126</c:v>
                </c:pt>
                <c:pt idx="3">
                  <c:v>138</c:v>
                </c:pt>
                <c:pt idx="4">
                  <c:v>142</c:v>
                </c:pt>
                <c:pt idx="5">
                  <c:v>143</c:v>
                </c:pt>
                <c:pt idx="6">
                  <c:v>149</c:v>
                </c:pt>
                <c:pt idx="7">
                  <c:v>152</c:v>
                </c:pt>
                <c:pt idx="8">
                  <c:v>152</c:v>
                </c:pt>
                <c:pt idx="9">
                  <c:v>154</c:v>
                </c:pt>
                <c:pt idx="10">
                  <c:v>155</c:v>
                </c:pt>
              </c:numCache>
            </c:numRef>
          </c:val>
          <c:extLst>
            <c:ext xmlns:c16="http://schemas.microsoft.com/office/drawing/2014/chart" uri="{C3380CC4-5D6E-409C-BE32-E72D297353CC}">
              <c16:uniqueId val="{00000001-E745-410C-B17F-7B843B326B17}"/>
            </c:ext>
          </c:extLst>
        </c:ser>
        <c:dLbls>
          <c:showLegendKey val="0"/>
          <c:showVal val="0"/>
          <c:showCatName val="0"/>
          <c:showSerName val="0"/>
          <c:showPercent val="0"/>
          <c:showBubbleSize val="0"/>
        </c:dLbls>
        <c:gapWidth val="182"/>
        <c:axId val="1385255943"/>
        <c:axId val="1385257991"/>
      </c:barChart>
      <c:catAx>
        <c:axId val="1385255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257991"/>
        <c:crosses val="autoZero"/>
        <c:auto val="1"/>
        <c:lblAlgn val="ctr"/>
        <c:lblOffset val="100"/>
        <c:noMultiLvlLbl val="0"/>
      </c:catAx>
      <c:valAx>
        <c:axId val="13852579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255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 Time + Transit Time + Criticality (if needed)</a:t>
            </a:r>
          </a:p>
        </c:rich>
      </c:tx>
      <c:layout>
        <c:manualLayout>
          <c:xMode val="edge"/>
          <c:yMode val="edge"/>
          <c:x val="0.11659377050524931"/>
          <c:y val="3.33931175269757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Sheet3!$L$3</c:f>
              <c:strCache>
                <c:ptCount val="1"/>
                <c:pt idx="0">
                  <c:v>Poland</c:v>
                </c:pt>
              </c:strCache>
            </c:strRef>
          </c:tx>
          <c:spPr>
            <a:solidFill>
              <a:schemeClr val="accent1"/>
            </a:solidFill>
            <a:ln>
              <a:noFill/>
            </a:ln>
            <a:effectLst/>
          </c:spPr>
          <c:invertIfNegative val="0"/>
          <c:cat>
            <c:strRef>
              <c:f>Sheet3!$M$2:$P$2</c:f>
              <c:strCache>
                <c:ptCount val="4"/>
                <c:pt idx="0">
                  <c:v>Gate Valve</c:v>
                </c:pt>
                <c:pt idx="1">
                  <c:v>Metal Seal</c:v>
                </c:pt>
                <c:pt idx="2">
                  <c:v>Tubing Hangar</c:v>
                </c:pt>
                <c:pt idx="3">
                  <c:v>Wing Block</c:v>
                </c:pt>
              </c:strCache>
            </c:strRef>
          </c:cat>
          <c:val>
            <c:numRef>
              <c:f>Sheet3!$M$3:$P$3</c:f>
              <c:numCache>
                <c:formatCode>0</c:formatCode>
                <c:ptCount val="4"/>
                <c:pt idx="0">
                  <c:v>138</c:v>
                </c:pt>
                <c:pt idx="1">
                  <c:v>137</c:v>
                </c:pt>
                <c:pt idx="2">
                  <c:v>0</c:v>
                </c:pt>
                <c:pt idx="3">
                  <c:v>190</c:v>
                </c:pt>
              </c:numCache>
            </c:numRef>
          </c:val>
          <c:extLst>
            <c:ext xmlns:c16="http://schemas.microsoft.com/office/drawing/2014/chart" uri="{C3380CC4-5D6E-409C-BE32-E72D297353CC}">
              <c16:uniqueId val="{00000001-07B4-4AAB-91D1-9DA3FB34443F}"/>
            </c:ext>
          </c:extLst>
        </c:ser>
        <c:ser>
          <c:idx val="1"/>
          <c:order val="1"/>
          <c:tx>
            <c:strRef>
              <c:f>Sheet3!$L$4</c:f>
              <c:strCache>
                <c:ptCount val="1"/>
                <c:pt idx="0">
                  <c:v>Romania</c:v>
                </c:pt>
              </c:strCache>
            </c:strRef>
          </c:tx>
          <c:spPr>
            <a:solidFill>
              <a:schemeClr val="accent2"/>
            </a:solidFill>
            <a:ln>
              <a:noFill/>
            </a:ln>
            <a:effectLst/>
          </c:spPr>
          <c:invertIfNegative val="0"/>
          <c:cat>
            <c:strRef>
              <c:f>Sheet3!$M$2:$P$2</c:f>
              <c:strCache>
                <c:ptCount val="4"/>
                <c:pt idx="0">
                  <c:v>Gate Valve</c:v>
                </c:pt>
                <c:pt idx="1">
                  <c:v>Metal Seal</c:v>
                </c:pt>
                <c:pt idx="2">
                  <c:v>Tubing Hangar</c:v>
                </c:pt>
                <c:pt idx="3">
                  <c:v>Wing Block</c:v>
                </c:pt>
              </c:strCache>
            </c:strRef>
          </c:cat>
          <c:val>
            <c:numRef>
              <c:f>Sheet3!$M$4:$P$4</c:f>
              <c:numCache>
                <c:formatCode>0</c:formatCode>
                <c:ptCount val="4"/>
                <c:pt idx="0">
                  <c:v>142</c:v>
                </c:pt>
                <c:pt idx="1">
                  <c:v>0</c:v>
                </c:pt>
                <c:pt idx="2">
                  <c:v>232</c:v>
                </c:pt>
                <c:pt idx="3">
                  <c:v>167</c:v>
                </c:pt>
              </c:numCache>
            </c:numRef>
          </c:val>
          <c:extLst>
            <c:ext xmlns:c16="http://schemas.microsoft.com/office/drawing/2014/chart" uri="{C3380CC4-5D6E-409C-BE32-E72D297353CC}">
              <c16:uniqueId val="{00000003-07B4-4AAB-91D1-9DA3FB34443F}"/>
            </c:ext>
          </c:extLst>
        </c:ser>
        <c:ser>
          <c:idx val="2"/>
          <c:order val="2"/>
          <c:tx>
            <c:strRef>
              <c:f>Sheet3!$L$5</c:f>
              <c:strCache>
                <c:ptCount val="1"/>
                <c:pt idx="0">
                  <c:v>Brazil</c:v>
                </c:pt>
              </c:strCache>
            </c:strRef>
          </c:tx>
          <c:spPr>
            <a:solidFill>
              <a:schemeClr val="accent3"/>
            </a:solidFill>
            <a:ln>
              <a:noFill/>
            </a:ln>
            <a:effectLst/>
          </c:spPr>
          <c:invertIfNegative val="0"/>
          <c:cat>
            <c:strRef>
              <c:f>Sheet3!$M$2:$P$2</c:f>
              <c:strCache>
                <c:ptCount val="4"/>
                <c:pt idx="0">
                  <c:v>Gate Valve</c:v>
                </c:pt>
                <c:pt idx="1">
                  <c:v>Metal Seal</c:v>
                </c:pt>
                <c:pt idx="2">
                  <c:v>Tubing Hangar</c:v>
                </c:pt>
                <c:pt idx="3">
                  <c:v>Wing Block</c:v>
                </c:pt>
              </c:strCache>
            </c:strRef>
          </c:cat>
          <c:val>
            <c:numRef>
              <c:f>Sheet3!$M$5:$P$5</c:f>
              <c:numCache>
                <c:formatCode>0</c:formatCode>
                <c:ptCount val="4"/>
                <c:pt idx="0">
                  <c:v>124</c:v>
                </c:pt>
                <c:pt idx="1">
                  <c:v>112</c:v>
                </c:pt>
                <c:pt idx="2">
                  <c:v>212</c:v>
                </c:pt>
                <c:pt idx="3">
                  <c:v>156</c:v>
                </c:pt>
              </c:numCache>
            </c:numRef>
          </c:val>
          <c:extLst>
            <c:ext xmlns:c16="http://schemas.microsoft.com/office/drawing/2014/chart" uri="{C3380CC4-5D6E-409C-BE32-E72D297353CC}">
              <c16:uniqueId val="{00000005-07B4-4AAB-91D1-9DA3FB34443F}"/>
            </c:ext>
          </c:extLst>
        </c:ser>
        <c:dLbls>
          <c:showLegendKey val="0"/>
          <c:showVal val="0"/>
          <c:showCatName val="0"/>
          <c:showSerName val="0"/>
          <c:showPercent val="0"/>
          <c:showBubbleSize val="0"/>
        </c:dLbls>
        <c:gapWidth val="219"/>
        <c:overlap val="-27"/>
        <c:axId val="1817614855"/>
        <c:axId val="1835421191"/>
      </c:barChart>
      <c:catAx>
        <c:axId val="1817614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421191"/>
        <c:crosses val="autoZero"/>
        <c:auto val="1"/>
        <c:lblAlgn val="ctr"/>
        <c:lblOffset val="100"/>
        <c:noMultiLvlLbl val="0"/>
      </c:catAx>
      <c:valAx>
        <c:axId val="1835421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14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9525</xdr:colOff>
      <xdr:row>53</xdr:row>
      <xdr:rowOff>114300</xdr:rowOff>
    </xdr:from>
    <xdr:to>
      <xdr:col>27</xdr:col>
      <xdr:colOff>104775</xdr:colOff>
      <xdr:row>60</xdr:row>
      <xdr:rowOff>371475</xdr:rowOff>
    </xdr:to>
    <xdr:graphicFrame macro="">
      <xdr:nvGraphicFramePr>
        <xdr:cNvPr id="18" name="Chart 3">
          <a:extLst>
            <a:ext uri="{FF2B5EF4-FFF2-40B4-BE49-F238E27FC236}">
              <a16:creationId xmlns:a16="http://schemas.microsoft.com/office/drawing/2014/main" id="{73A6BBCF-ECE3-3539-2E9C-A174426B3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38100</xdr:colOff>
      <xdr:row>1</xdr:row>
      <xdr:rowOff>0</xdr:rowOff>
    </xdr:from>
    <xdr:to>
      <xdr:col>16</xdr:col>
      <xdr:colOff>342900</xdr:colOff>
      <xdr:row>15</xdr:row>
      <xdr:rowOff>76200</xdr:rowOff>
    </xdr:to>
    <xdr:graphicFrame macro="">
      <xdr:nvGraphicFramePr>
        <xdr:cNvPr id="2" name="Chart 1">
          <a:extLst>
            <a:ext uri="{FF2B5EF4-FFF2-40B4-BE49-F238E27FC236}">
              <a16:creationId xmlns:a16="http://schemas.microsoft.com/office/drawing/2014/main" id="{A1C16543-36B2-CB0B-23F1-3F4A81B92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11</xdr:row>
      <xdr:rowOff>0</xdr:rowOff>
    </xdr:from>
    <xdr:to>
      <xdr:col>8</xdr:col>
      <xdr:colOff>190500</xdr:colOff>
      <xdr:row>25</xdr:row>
      <xdr:rowOff>76200</xdr:rowOff>
    </xdr:to>
    <xdr:pic>
      <xdr:nvPicPr>
        <xdr:cNvPr id="2" name="Picture 1">
          <a:extLst>
            <a:ext uri="{FF2B5EF4-FFF2-40B4-BE49-F238E27FC236}">
              <a16:creationId xmlns:a16="http://schemas.microsoft.com/office/drawing/2014/main" id="{8939451D-142F-5E6D-1CA1-9C5D369E1E7E}"/>
            </a:ext>
          </a:extLst>
        </xdr:cNvPr>
        <xdr:cNvPicPr>
          <a:picLocks noChangeAspect="1"/>
        </xdr:cNvPicPr>
      </xdr:nvPicPr>
      <xdr:blipFill>
        <a:blip xmlns:r="http://schemas.openxmlformats.org/officeDocument/2006/relationships" r:embed="rId1"/>
        <a:stretch>
          <a:fillRect/>
        </a:stretch>
      </xdr:blipFill>
      <xdr:spPr>
        <a:xfrm>
          <a:off x="3629025" y="2714625"/>
          <a:ext cx="4572000" cy="2743200"/>
        </a:xfrm>
        <a:prstGeom prst="rect">
          <a:avLst/>
        </a:prstGeom>
      </xdr:spPr>
    </xdr:pic>
    <xdr:clientData/>
  </xdr:two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zil" TargetMode="External"/><Relationship Id="rId3" Type="http://schemas.openxmlformats.org/officeDocument/2006/relationships/hyperlink" Target="https://www.bing.com/th?id=OSK.8zn8I87SMZQID1yeREa5ylZshLmieZDX-S-9EZ_xfG8&amp;qlt=95" TargetMode="External"/><Relationship Id="rId7" Type="http://schemas.openxmlformats.org/officeDocument/2006/relationships/hyperlink" Target="https://www.bing.com/th?id=OSK.380316b6ec7e3f5c2fadae3206181af4&amp;qlt=95" TargetMode="External"/><Relationship Id="rId2" Type="http://schemas.openxmlformats.org/officeDocument/2006/relationships/hyperlink" Target="https://www.bing.com/images/search?form=xlimg&amp;q=France" TargetMode="External"/><Relationship Id="rId1" Type="http://schemas.openxmlformats.org/officeDocument/2006/relationships/hyperlink" Target="https://www.bing.com/th?id=OSK.IJoB2IAflCzjheZJfaz5mfzEWw5jRcoWEgDQz1yU2Yk&amp;qlt=95" TargetMode="External"/><Relationship Id="rId6" Type="http://schemas.openxmlformats.org/officeDocument/2006/relationships/hyperlink" Target="https://www.bing.com/images/search?form=xlimg&amp;q=Poland" TargetMode="External"/><Relationship Id="rId5" Type="http://schemas.openxmlformats.org/officeDocument/2006/relationships/hyperlink" Target="https://www.bing.com/th?id=OSK.wh-UTEFTEh6yXROAExnHHJuw4N-wHkAAkwvLwczJijw&amp;qlt=95" TargetMode="External"/><Relationship Id="rId4" Type="http://schemas.openxmlformats.org/officeDocument/2006/relationships/hyperlink" Target="https://www.bing.com/images/search?form=xlimg&amp;q=Romani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Srd>
</file>

<file path=xl/richData/rdarray.xml><?xml version="1.0" encoding="utf-8"?>
<arrayData xmlns="http://schemas.microsoft.com/office/spreadsheetml/2017/richdata2" count="13">
  <a r="2">
    <v t="r">20</v>
    <v t="r">21</v>
  </a>
  <a r="1">
    <v t="s">French language</v>
  </a>
  <a r="25">
    <v t="r">40</v>
    <v t="r">41</v>
    <v t="r">42</v>
    <v t="r">43</v>
    <v t="r">44</v>
    <v t="r">45</v>
    <v t="r">46</v>
    <v t="r">47</v>
    <v t="r">48</v>
    <v t="r">49</v>
    <v t="r">50</v>
    <v t="r">51</v>
    <v t="r">52</v>
    <v t="r">53</v>
    <v t="r">54</v>
    <v t="r">55</v>
    <v t="r">56</v>
    <v t="r">57</v>
    <v t="r">58</v>
    <v t="r">59</v>
    <v t="r">60</v>
    <v t="r">61</v>
    <v t="r">62</v>
    <v t="r">63</v>
    <v t="r">64</v>
  </a>
  <a r="1">
    <v t="s">Central European Time</v>
  </a>
  <a r="2">
    <v t="r">92</v>
    <v t="r">93</v>
  </a>
  <a r="1">
    <v t="s">Romanian language</v>
  </a>
  <a r="42">
    <v t="r">112</v>
    <v t="r">113</v>
    <v t="r">114</v>
    <v t="r">115</v>
    <v t="r">116</v>
    <v t="r">117</v>
    <v t="r">118</v>
    <v t="r">119</v>
    <v t="r">120</v>
    <v t="r">121</v>
    <v t="r">122</v>
    <v t="r">123</v>
    <v t="r">124</v>
    <v t="r">125</v>
    <v t="r">126</v>
    <v t="r">127</v>
    <v t="r">128</v>
    <v t="r">129</v>
    <v t="r">130</v>
    <v t="r">131</v>
    <v t="r">132</v>
    <v t="r">133</v>
    <v t="r">134</v>
    <v t="r">135</v>
    <v t="r">136</v>
    <v t="r">137</v>
    <v t="r">138</v>
    <v t="r">139</v>
    <v t="r">140</v>
    <v t="r">141</v>
    <v t="r">142</v>
    <v t="r">143</v>
    <v t="r">144</v>
    <v t="r">145</v>
    <v t="r">146</v>
    <v t="r">147</v>
    <v t="r">148</v>
    <v t="r">149</v>
    <v t="r">150</v>
    <v t="r">151</v>
    <v t="r">152</v>
    <v t="r">78</v>
  </a>
  <a r="2">
    <v t="r">179</v>
    <v t="r">180</v>
  </a>
  <a r="1">
    <v t="s">Polish language</v>
  </a>
  <a r="16">
    <v t="r">198</v>
    <v t="r">199</v>
    <v t="r">200</v>
    <v t="r">201</v>
    <v t="r">202</v>
    <v t="r">203</v>
    <v t="r">204</v>
    <v t="r">205</v>
    <v t="r">206</v>
    <v t="r">207</v>
    <v t="r">208</v>
    <v t="r">209</v>
    <v t="r">210</v>
    <v t="r">211</v>
    <v t="r">212</v>
    <v t="r">213</v>
  </a>
  <a r="2">
    <v t="r">241</v>
    <v t="r">242</v>
  </a>
  <a r="1">
    <v t="s">Portuguese language</v>
  </a>
  <a r="27">
    <v t="r">261</v>
    <v t="r">262</v>
    <v t="r">263</v>
    <v t="r">264</v>
    <v t="r">265</v>
    <v t="r">266</v>
    <v t="r">267</v>
    <v t="r">268</v>
    <v t="r">269</v>
    <v t="r">270</v>
    <v t="r">271</v>
    <v t="r">272</v>
    <v t="r">273</v>
    <v t="r">274</v>
    <v t="r">275</v>
    <v t="r">276</v>
    <v t="r">277</v>
    <v t="r">278</v>
    <v t="r">279</v>
    <v t="r">280</v>
    <v t="r">281</v>
    <v t="r">282</v>
    <v t="r">283</v>
    <v t="r">284</v>
    <v t="r">285</v>
    <v t="r">286</v>
    <v t="r">287</v>
  </a>
</arrayData>
</file>

<file path=xl/richData/rdrichvalue.xml><?xml version="1.0" encoding="utf-8"?>
<rvData xmlns="http://schemas.microsoft.com/office/spreadsheetml/2017/richdata" count="294">
  <rv s="0">
    <v>536870912</v>
    <v>France</v>
    <v>c7bfe2de-4f82-e23c-ae42-8544b5b5c0ea</v>
    <v>en-US</v>
    <v>Map</v>
  </rv>
  <rv s="1">
    <fb>0.524475441661716</fb>
    <v>23</v>
  </rv>
  <rv s="1">
    <fb>643801</fb>
    <v>24</v>
  </rv>
  <rv s="1">
    <fb>307000</fb>
    <v>24</v>
  </rv>
  <rv s="1">
    <fb>11.3</fb>
    <v>25</v>
  </rv>
  <rv s="1">
    <fb>33</fb>
    <v>26</v>
  </rv>
  <rv s="0">
    <v>536870912</v>
    <v>Paris</v>
    <v>85584d24-2116-5b98-89f9-5714db931ac6</v>
    <v>en-US</v>
    <v>Map</v>
  </rv>
  <rv s="1">
    <fb>303275.56800000003</fb>
    <v>24</v>
  </rv>
  <rv s="1">
    <fb>110.04856675289</fb>
    <v>27</v>
  </rv>
  <rv s="1">
    <fb>1.1082549228829199E-2</fb>
    <v>23</v>
  </rv>
  <rv s="1">
    <fb>6939.5214736692897</fb>
    <v>24</v>
  </rv>
  <rv s="1">
    <fb>1.88</fb>
    <v>25</v>
  </rv>
  <rv s="1">
    <fb>0.31233278442262596</fb>
    <v>23</v>
  </rv>
  <rv s="1">
    <fb>46.487970872236403</fb>
    <v>28</v>
  </rv>
  <rv s="1">
    <fb>1.39</fb>
    <v>29</v>
  </rv>
  <rv s="1">
    <fb>2715518274227.4502</fb>
    <v>30</v>
  </rv>
  <rv s="1">
    <fb>1.0251076000000001</fb>
    <v>23</v>
  </rv>
  <rv s="1">
    <fb>0.65629000000000004</fb>
    <v>23</v>
  </rv>
  <rv s="2">
    <v>0</v>
    <v>21</v>
    <v>2</v>
    <v>7</v>
    <v>0</v>
    <v>Image of France</v>
  </rv>
  <rv s="1">
    <fb>3.4</fb>
    <v>28</v>
  </rv>
  <rv s="0">
    <v>805306368</v>
    <v>Emmanuel Macron (President)</v>
    <v>35be5a56-7a78-6352-b158-60da8f84c858</v>
    <v>en-US</v>
    <v>Generic</v>
  </rv>
  <rv s="0">
    <v>805306368</v>
    <v>Gabriel Attal (Prime minister)</v>
    <v>5f0b8fd1-c77a-cffd-ddee-9a5bbf7b40cf</v>
    <v>en-US</v>
    <v>Generic</v>
  </rv>
  <rv s="3">
    <v>0</v>
  </rv>
  <rv s="4">
    <v>https://www.bing.com/search?q=france&amp;form=skydnc</v>
    <v>Learn more on Bing</v>
  </rv>
  <rv s="1">
    <fb>82.526829268292701</fb>
    <v>28</v>
  </rv>
  <rv s="1">
    <fb>2365950236659.3599</fb>
    <v>30</v>
  </rv>
  <rv s="1">
    <fb>8</fb>
    <v>28</v>
  </rv>
  <rv s="1">
    <fb>11.16</fb>
    <v>29</v>
  </rv>
  <rv s="3">
    <v>1</v>
  </rv>
  <rv s="1">
    <fb>6.7968269799999995E-2</fb>
    <v>23</v>
  </rv>
  <rv s="1">
    <fb>3.2671999999999999</fb>
    <v>25</v>
  </rv>
  <rv s="1">
    <fb>67935660</fb>
    <v>24</v>
  </rv>
  <rv s="1">
    <fb>0.21899999999999997</fb>
    <v>23</v>
  </rv>
  <rv s="1">
    <fb>0.25800000000000001</fb>
    <v>23</v>
  </rv>
  <rv s="1">
    <fb>0.4</fb>
    <v>23</v>
  </rv>
  <rv s="1">
    <fb>3.2000000000000001E-2</fb>
    <v>23</v>
  </rv>
  <rv s="1">
    <fb>8.1000000000000003E-2</fb>
    <v>23</v>
  </rv>
  <rv s="1">
    <fb>0.13</fb>
    <v>23</v>
  </rv>
  <rv s="1">
    <fb>0.16899999999999998</fb>
    <v>23</v>
  </rv>
  <rv s="1">
    <fb>0.55125999450683605</fb>
    <v>23</v>
  </rv>
  <rv s="0">
    <v>536870912</v>
    <v>Brittany</v>
    <v>809fb739-638d-2499-95bd-c8e5b10153ee</v>
    <v>en-US</v>
    <v>Map</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New 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2</v>
  </rv>
  <rv s="1">
    <fb>0.24229980509910898</fb>
    <v>23</v>
  </rv>
  <rv s="3">
    <v>3</v>
  </rv>
  <rv s="1">
    <fb>0.60699999999999998</fb>
    <v>23</v>
  </rv>
  <rv s="1">
    <fb>8.4270000457763714E-2</fb>
    <v>31</v>
  </rv>
  <rv s="1">
    <fb>54123364</fb>
    <v>24</v>
  </rv>
  <rv s="5">
    <v>#VALUE!</v>
    <v>16</v>
    <v>17</v>
    <v>France</v>
    <v>19</v>
    <v>20</v>
    <v>Map</v>
    <v>21</v>
    <v>22</v>
    <v>en-US</v>
    <v>c7bfe2de-4f82-e23c-ae42-8544b5b5c0ea</v>
    <v>536870912</v>
    <v>1</v>
    <v>FR</v>
    <v>1</v>
    <v>2</v>
    <v>3</v>
    <v>4</v>
    <v>5</v>
    <v>6</v>
    <v>7</v>
    <v>8</v>
    <v>9</v>
    <v>EUR</v>
    <v>France, officially the French Republic, is a country located primarily in Western Europe. It also includes overseas regions and territories in the Americas and the Atlantic, Pacific and Indian oceans, giving it one of the largest discontiguous ...</v>
    <v>10</v>
    <v>11</v>
    <v>12</v>
    <v>13</v>
    <v>14</v>
    <v>15</v>
    <v>16</v>
    <v>17</v>
    <v>18</v>
    <v>19</v>
    <v>6</v>
    <v>22</v>
    <v>23</v>
    <v>24</v>
    <v>25</v>
    <v>26</v>
    <v>27</v>
    <v>France</v>
    <v>La Marseillaise</v>
    <v>28</v>
    <v>République française</v>
    <v>29</v>
    <v>30</v>
    <v>31</v>
    <v>32</v>
    <v>33</v>
    <v>34</v>
    <v>35</v>
    <v>36</v>
    <v>37</v>
    <v>38</v>
    <v>39</v>
    <v>65</v>
    <v>66</v>
    <v>67</v>
    <v>68</v>
    <v>69</v>
    <v>France</v>
    <v>70</v>
    <v>mdp/vdpid/84</v>
  </rv>
  <rv s="0">
    <v>536870912</v>
    <v>Romania</v>
    <v>0cc489d5-ff53-84f1-4fcc-76525efef33a</v>
    <v>en-US</v>
    <v>Map</v>
  </rv>
  <rv s="1">
    <fb>0.58766515994436697</fb>
    <v>23</v>
  </rv>
  <rv s="1">
    <fb>238397</fb>
    <v>24</v>
  </rv>
  <rv s="1">
    <fb>126000</fb>
    <v>24</v>
  </rv>
  <rv s="1">
    <fb>9.6</fb>
    <v>25</v>
  </rv>
  <rv s="1">
    <fb>40</fb>
    <v>26</v>
  </rv>
  <rv s="0">
    <v>536870912</v>
    <v>Bucharest</v>
    <v>42022f97-112e-58a6-70f5-9536b20ee957</v>
    <v>en-US</v>
    <v>Map</v>
  </rv>
  <rv s="1">
    <fb>69258.629000000001</fb>
    <v>24</v>
  </rv>
  <rv s="1">
    <fb>123.780383348878</fb>
    <v>27</v>
  </rv>
  <rv s="1">
    <fb>3.8278543259942802E-2</fb>
    <v>23</v>
  </rv>
  <rv s="1">
    <fb>2584.4117872644301</fb>
    <v>24</v>
  </rv>
  <rv s="1">
    <fb>1.71</fb>
    <v>25</v>
  </rv>
  <rv s="1">
    <fb>0.301208283871371</fb>
    <v>23</v>
  </rv>
  <rv s="1">
    <fb>72.523694574412801</fb>
    <v>28</v>
  </rv>
  <rv s="1">
    <fb>1.1599999999999999</fb>
    <v>29</v>
  </rv>
  <rv s="1">
    <fb>250077444017.08401</fb>
    <v>30</v>
  </rv>
  <rv s="1">
    <fb>0.85150870000000001</fb>
    <v>23</v>
  </rv>
  <rv s="1">
    <fb>0.4938187</fb>
    <v>23</v>
  </rv>
  <rv s="2">
    <v>1</v>
    <v>21</v>
    <v>33</v>
    <v>7</v>
    <v>0</v>
    <v>Image of Romania</v>
  </rv>
  <rv s="1">
    <fb>6.1</fb>
    <v>28</v>
  </rv>
  <rv s="0">
    <v>805306368</v>
    <v>Klaus Iohannis (President)</v>
    <v>7ff325b6-eaf2-021c-bc2a-09373a9427f3</v>
    <v>en-US</v>
    <v>Generic</v>
  </rv>
  <rv s="0">
    <v>805306368</v>
    <v>Marcel Ciolacu (Prime minister)</v>
    <v>85188c14-f939-1c62-12fb-e44a3a13ab1d</v>
    <v>en-US</v>
    <v>Generic</v>
  </rv>
  <rv s="3">
    <v>4</v>
  </rv>
  <rv s="4">
    <v>https://www.bing.com/search?q=romania&amp;form=skydnc</v>
    <v>Learn more on Bing</v>
  </rv>
  <rv s="1">
    <fb>75.358536585365897</fb>
    <v>28</v>
  </rv>
  <rv s="1">
    <fb>26110300000</fb>
    <v>30</v>
  </rv>
  <rv s="1">
    <fb>19</fb>
    <v>28</v>
  </rv>
  <rv s="1">
    <fb>2.25</fb>
    <v>29</v>
  </rv>
  <rv s="3">
    <v>5</v>
  </rv>
  <rv s="1">
    <fb>0.21276716530000001</fb>
    <v>23</v>
  </rv>
  <rv s="1">
    <fb>2.9807000000000001</fb>
    <v>25</v>
  </rv>
  <rv s="1">
    <fb>18956666</fb>
    <v>24</v>
  </rv>
  <rv s="1">
    <fb>0.247</fb>
    <v>23</v>
  </rv>
  <rv s="1">
    <fb>0.249</fb>
    <v>23</v>
  </rv>
  <rv s="1">
    <fb>0.41</fb>
    <v>23</v>
  </rv>
  <rv s="1">
    <fb>1.6E-2</fb>
    <v>23</v>
  </rv>
  <rv s="1">
    <fb>5.2999999999999999E-2</fb>
    <v>23</v>
  </rv>
  <rv s="1">
    <fb>0.11699999999999999</fb>
    <v>23</v>
  </rv>
  <rv s="1">
    <fb>0.17399999999999999</fb>
    <v>23</v>
  </rv>
  <rv s="1">
    <fb>0.54661998748779295</fb>
    <v>23</v>
  </rv>
  <rv s="0">
    <v>536870912</v>
    <v>Alba County</v>
    <v>c21726c8-9ad7-eaa6-44f2-a2dae7e40e2c</v>
    <v>en-US</v>
    <v>Map</v>
  </rv>
  <rv s="0">
    <v>536870912</v>
    <v>Arad County</v>
    <v>09ac14dd-d901-08ce-e6d7-7050564ba78d</v>
    <v>en-US</v>
    <v>Map</v>
  </rv>
  <rv s="0">
    <v>536870912</v>
    <v>Argeș County</v>
    <v>318eeda4-9dd3-e3c1-6d05-5e140d88acfc</v>
    <v>en-US</v>
    <v>Map</v>
  </rv>
  <rv s="0">
    <v>536870912</v>
    <v>Bacău County</v>
    <v>61b312d7-17c7-cfe6-4e56-77816817f56b</v>
    <v>en-US</v>
    <v>Map</v>
  </rv>
  <rv s="0">
    <v>536870912</v>
    <v>Bihor County</v>
    <v>3952dd81-0984-acbe-245c-8b3054ef95c9</v>
    <v>en-US</v>
    <v>Map</v>
  </rv>
  <rv s="0">
    <v>536870912</v>
    <v>Bistrița-Năsăud County</v>
    <v>d0dac3d9-f47e-2719-abf6-372b00ae7ae0</v>
    <v>en-US</v>
    <v>Map</v>
  </rv>
  <rv s="0">
    <v>536870912</v>
    <v>Botoșani County</v>
    <v>feff5245-d038-86d5-5930-7c8208872ee3</v>
    <v>en-US</v>
    <v>Map</v>
  </rv>
  <rv s="0">
    <v>536870912</v>
    <v>Brașov County</v>
    <v>86db4373-f44e-f2af-1043-8cad4ea43afc</v>
    <v>en-US</v>
    <v>Map</v>
  </rv>
  <rv s="0">
    <v>536870912</v>
    <v>Brăila County</v>
    <v>0a804e68-4031-607a-3fa0-df03c2b648d2</v>
    <v>en-US</v>
    <v>Map</v>
  </rv>
  <rv s="0">
    <v>536870912</v>
    <v>Buzău County</v>
    <v>bdcbd591-5cd3-ea51-a909-f9e3a7d9135d</v>
    <v>en-US</v>
    <v>Map</v>
  </rv>
  <rv s="0">
    <v>536870912</v>
    <v>Caraș-Severin County</v>
    <v>f236c4b6-3033-3e05-9418-43c6d669da82</v>
    <v>en-US</v>
    <v>Map</v>
  </rv>
  <rv s="0">
    <v>536870912</v>
    <v>Călărași County</v>
    <v>cd578b99-3dd3-5dea-7c8b-4e9135436f97</v>
    <v>en-US</v>
    <v>Map</v>
  </rv>
  <rv s="0">
    <v>536870912</v>
    <v>Cluj County</v>
    <v>28809817-0c91-c619-fb4f-e8e5cb804a76</v>
    <v>en-US</v>
    <v>Map</v>
  </rv>
  <rv s="0">
    <v>536870912</v>
    <v>Constanța County</v>
    <v>0cdf21be-08e7-570f-51e1-921e4da71ed5</v>
    <v>en-US</v>
    <v>Map</v>
  </rv>
  <rv s="0">
    <v>536870912</v>
    <v>Covasna County</v>
    <v>fa5ce805-c93a-97b6-9e15-4b761a9b83c6</v>
    <v>en-US</v>
    <v>Map</v>
  </rv>
  <rv s="0">
    <v>536870912</v>
    <v>Dâmbovița County</v>
    <v>d8b28916-b16c-a4e5-b155-271ef6e4a2c2</v>
    <v>en-US</v>
    <v>Map</v>
  </rv>
  <rv s="0">
    <v>536870912</v>
    <v>Dolj County</v>
    <v>dea77125-28db-fbbc-ff54-52cbc5d207dd</v>
    <v>en-US</v>
    <v>Map</v>
  </rv>
  <rv s="0">
    <v>536870912</v>
    <v>Galați County</v>
    <v>ab9506dc-8457-ead3-6440-afd79051c3b0</v>
    <v>en-US</v>
    <v>Map</v>
  </rv>
  <rv s="0">
    <v>536870912</v>
    <v>Giurgiu County</v>
    <v>ff095b0d-49c5-6888-d3bc-754012945cca</v>
    <v>en-US</v>
    <v>Map</v>
  </rv>
  <rv s="0">
    <v>536870912</v>
    <v>Gorj County</v>
    <v>9f8069d1-da23-e934-5858-395dd70ecd4a</v>
    <v>en-US</v>
    <v>Map</v>
  </rv>
  <rv s="0">
    <v>536870912</v>
    <v>Harghita County</v>
    <v>8378f330-84ea-467e-8a66-f27ad353cd4c</v>
    <v>en-US</v>
    <v>Map</v>
  </rv>
  <rv s="0">
    <v>536870912</v>
    <v>Hunedoara County</v>
    <v>202a8128-b503-a325-37e5-8e5e68c15867</v>
    <v>en-US</v>
    <v>Map</v>
  </rv>
  <rv s="0">
    <v>536870912</v>
    <v>Ialomița County</v>
    <v>fc33a349-ea3d-08f4-c751-0ae5b7dcfa8c</v>
    <v>en-US</v>
    <v>Map</v>
  </rv>
  <rv s="0">
    <v>536870912</v>
    <v>Iași County</v>
    <v>2be9dc91-9009-1844-f4a7-f66e4de3e1e2</v>
    <v>en-US</v>
    <v>Map</v>
  </rv>
  <rv s="0">
    <v>536870912</v>
    <v>Ilfov County</v>
    <v>d6b13ffc-3490-2609-746c-5b9daf56e5ee</v>
    <v>en-US</v>
    <v>Map</v>
  </rv>
  <rv s="0">
    <v>536870912</v>
    <v>Maramureș County</v>
    <v>4ed7d056-ef13-2d0e-56a6-e9da21330a94</v>
    <v>en-US</v>
    <v>Map</v>
  </rv>
  <rv s="0">
    <v>536870912</v>
    <v>Mehedinți County</v>
    <v>4281fa8c-81b5-1f40-b397-e1eb6ba2dc78</v>
    <v>en-US</v>
    <v>Map</v>
  </rv>
  <rv s="0">
    <v>536870912</v>
    <v>Mureș County</v>
    <v>3f4266e8-0170-a113-1032-f94336eaafdf</v>
    <v>en-US</v>
    <v>Map</v>
  </rv>
  <rv s="0">
    <v>536870912</v>
    <v>Neamț County</v>
    <v>10688e6f-8161-14e3-8c27-cb9bb5be1f19</v>
    <v>en-US</v>
    <v>Map</v>
  </rv>
  <rv s="0">
    <v>536870912</v>
    <v>Olt County</v>
    <v>b11684a9-7647-de09-64a1-49b27c0b2422</v>
    <v>en-US</v>
    <v>Map</v>
  </rv>
  <rv s="0">
    <v>536870912</v>
    <v>Prahova County</v>
    <v>ef7d6b15-b80b-c2ac-d5e3-b2a9061583d8</v>
    <v>en-US</v>
    <v>Map</v>
  </rv>
  <rv s="0">
    <v>536870912</v>
    <v>Satu Mare County</v>
    <v>61f38a75-f137-9e6e-2306-81c1a708240e</v>
    <v>en-US</v>
    <v>Map</v>
  </rv>
  <rv s="0">
    <v>536870912</v>
    <v>Sălaj County</v>
    <v>a1b242e4-860b-a6ec-6f82-2159334291e6</v>
    <v>en-US</v>
    <v>Map</v>
  </rv>
  <rv s="0">
    <v>536870912</v>
    <v>Sibiu County</v>
    <v>3f30d65f-4841-e070-8804-06cea2d2f5a4</v>
    <v>en-US</v>
    <v>Map</v>
  </rv>
  <rv s="0">
    <v>536870912</v>
    <v>Suceava County</v>
    <v>0730647e-3d4b-ffb2-f452-53c11e65cf8d</v>
    <v>en-US</v>
    <v>Map</v>
  </rv>
  <rv s="0">
    <v>536870912</v>
    <v>Teleorman County</v>
    <v>a13105c9-1956-9418-947c-69c3f670616f</v>
    <v>en-US</v>
    <v>Map</v>
  </rv>
  <rv s="0">
    <v>536870912</v>
    <v>Timiș County</v>
    <v>655fa6eb-9e3d-05b3-4101-2413d655f1ff</v>
    <v>en-US</v>
    <v>Map</v>
  </rv>
  <rv s="0">
    <v>536870912</v>
    <v>Tulcea County</v>
    <v>85222a52-a63f-ea94-229e-d38e8da96a5e</v>
    <v>en-US</v>
    <v>Map</v>
  </rv>
  <rv s="0">
    <v>536870912</v>
    <v>Vaslui County</v>
    <v>f808d8c2-0910-ed03-f4de-05f9fae6976f</v>
    <v>en-US</v>
    <v>Map</v>
  </rv>
  <rv s="0">
    <v>536870912</v>
    <v>Vâlcea County</v>
    <v>7bfc5a59-d44b-48f9-b75d-740ad5186eaa</v>
    <v>en-US</v>
    <v>Map</v>
  </rv>
  <rv s="0">
    <v>536870912</v>
    <v>Vrancea County</v>
    <v>9ed2ae9a-d03d-2bb8-9374-23833b05fc4c</v>
    <v>en-US</v>
    <v>Map</v>
  </rv>
  <rv s="3">
    <v>6</v>
  </rv>
  <rv s="1">
    <fb>0.14584834808348801</fb>
    <v>23</v>
  </rv>
  <rv s="1">
    <fb>0.2</fb>
    <v>23</v>
  </rv>
  <rv s="1">
    <fb>3.9760000705719001E-2</fb>
    <v>31</v>
  </rv>
  <rv s="1">
    <fb>10468793</fb>
    <v>24</v>
  </rv>
  <rv s="6">
    <v>#VALUE!</v>
    <v>36</v>
    <v>37</v>
    <v>Romania</v>
    <v>19</v>
    <v>20</v>
    <v>Map</v>
    <v>21</v>
    <v>38</v>
    <v>en-US</v>
    <v>0cc489d5-ff53-84f1-4fcc-76525efef33a</v>
    <v>536870912</v>
    <v>1</v>
    <v>RO</v>
    <v>73</v>
    <v>74</v>
    <v>75</v>
    <v>76</v>
    <v>77</v>
    <v>78</v>
    <v>79</v>
    <v>80</v>
    <v>81</v>
    <v>ROL</v>
    <v>Romania is a country at the crossroads of Central and Southeast Europe. It borders Ukraine to the north and east, Hungary to the west, Serbia to the southwest, Bulgaria to the south, Moldova to the east, and the Black Sea to the southeast. It ...</v>
    <v>82</v>
    <v>83</v>
    <v>84</v>
    <v>85</v>
    <v>86</v>
    <v>87</v>
    <v>88</v>
    <v>89</v>
    <v>90</v>
    <v>91</v>
    <v>78</v>
    <v>94</v>
    <v>95</v>
    <v>96</v>
    <v>97</v>
    <v>98</v>
    <v>99</v>
    <v>Romania</v>
    <v>Deșteaptă-te, române!</v>
    <v>100</v>
    <v>România</v>
    <v>101</v>
    <v>102</v>
    <v>103</v>
    <v>104</v>
    <v>105</v>
    <v>106</v>
    <v>107</v>
    <v>108</v>
    <v>109</v>
    <v>110</v>
    <v>111</v>
    <v>153</v>
    <v>154</v>
    <v>155</v>
    <v>156</v>
    <v>Romania</v>
    <v>157</v>
    <v>mdp/vdpid/200</v>
  </rv>
  <rv s="0">
    <v>536870912</v>
    <v>Poland</v>
    <v>1d6059a2-d1f1-d2d7-4261-dc7cd5cdb84b</v>
    <v>en-US</v>
    <v>Map</v>
  </rv>
  <rv s="1">
    <fb>0.469447075345374</fb>
    <v>23</v>
  </rv>
  <rv s="1">
    <fb>312683</fb>
    <v>24</v>
  </rv>
  <rv s="1">
    <fb>191000</fb>
    <v>24</v>
  </rv>
  <rv s="1">
    <fb>10.199999999999999</fb>
    <v>25</v>
  </rv>
  <rv s="1">
    <fb>48</fb>
    <v>26</v>
  </rv>
  <rv s="0">
    <v>536870912</v>
    <v>Warsaw</v>
    <v>c79f30ac-b9a3-0949-6bdf-956551e5fc81</v>
    <v>en-US</v>
    <v>Map</v>
  </rv>
  <rv s="1">
    <fb>299036.516</fb>
    <v>24</v>
  </rv>
  <rv s="1">
    <fb>114.111779375092</fb>
    <v>27</v>
  </rv>
  <rv s="1">
    <fb>2.227478809383E-2</fb>
    <v>23</v>
  </rv>
  <rv s="1">
    <fb>3971.7997613105499</fb>
    <v>24</v>
  </rv>
  <rv s="1">
    <fb>1.46</fb>
    <v>25</v>
  </rv>
  <rv s="1">
    <fb>0.30883439025809101</fb>
    <v>23</v>
  </rv>
  <rv s="1">
    <fb>90.291375435655297</fb>
    <v>28</v>
  </rv>
  <rv s="1">
    <fb>1.07</fb>
    <v>29</v>
  </rv>
  <rv s="1">
    <fb>592164400687.60706</fb>
    <v>30</v>
  </rv>
  <rv s="1">
    <fb>1.000159</fb>
    <v>23</v>
  </rv>
  <rv s="1">
    <fb>0.67827439999999994</fb>
    <v>23</v>
  </rv>
  <rv s="2">
    <v>2</v>
    <v>21</v>
    <v>40</v>
    <v>7</v>
    <v>0</v>
    <v>Image of Poland</v>
  </rv>
  <rv s="1">
    <fb>3.8</fb>
    <v>28</v>
  </rv>
  <rv s="0">
    <v>805306368</v>
    <v>Andrzej Duda (President)</v>
    <v>fd659446-93d5-1c05-f501-9d102870ea43</v>
    <v>en-US</v>
    <v>Generic</v>
  </rv>
  <rv s="0">
    <v>805306368</v>
    <v>Donald Tusk (Prime minister)</v>
    <v>42c246ff-649b-1da6-5b06-8c6201991d6a</v>
    <v>en-US</v>
    <v>Generic</v>
  </rv>
  <rv s="3">
    <v>7</v>
  </rv>
  <rv s="4">
    <v>https://www.bing.com/search?q=poland&amp;form=skydnc</v>
    <v>Learn more on Bing</v>
  </rv>
  <rv s="1">
    <fb>77.602439024390307</fb>
    <v>28</v>
  </rv>
  <rv s="1">
    <fb>151618860000</fb>
    <v>30</v>
  </rv>
  <rv s="1">
    <fb>2</fb>
    <v>28</v>
  </rv>
  <rv s="1">
    <fb>2.93</fb>
    <v>29</v>
  </rv>
  <rv s="3">
    <v>8</v>
  </rv>
  <rv s="1">
    <fb>0.23246298360000001</fb>
    <v>23</v>
  </rv>
  <rv s="1">
    <fb>2.3788</fb>
    <v>25</v>
  </rv>
  <rv s="1">
    <fb>37561599</fb>
    <v>24</v>
  </rv>
  <rv s="1">
    <fb>0.22600000000000001</fb>
    <v>23</v>
  </rv>
  <rv s="1">
    <fb>0.23499999999999999</fb>
    <v>23</v>
  </rv>
  <rv s="1">
    <fb>0.38200000000000001</fb>
    <v>23</v>
  </rv>
  <rv s="1">
    <fb>8.3000000000000004E-2</fb>
    <v>23</v>
  </rv>
  <rv s="1">
    <fb>0.13400000000000001</fb>
    <v>23</v>
  </rv>
  <rv s="1">
    <fb>0.17499999999999999</fb>
    <v>23</v>
  </rv>
  <rv s="1">
    <fb>0.56701000213622998</fb>
    <v>23</v>
  </rv>
  <rv s="0">
    <v>536870912</v>
    <v>Lower Silesian Voivodeship</v>
    <v>2c12027c-f1f3-15e4-470e-533d0b324b34</v>
    <v>en-US</v>
    <v>Map</v>
  </rv>
  <rv s="0">
    <v>536870912</v>
    <v>Łódź Voivodeship</v>
    <v>0fe063e3-0ad6-1012-edb0-f676300d33ea</v>
    <v>en-US</v>
    <v>Map</v>
  </rv>
  <rv s="0">
    <v>536870912</v>
    <v>Świętokrzyskie Voivodeship</v>
    <v>f361912e-d7ba-dd37-b583-2068d7a03177</v>
    <v>en-US</v>
    <v>Map</v>
  </rv>
  <rv s="0">
    <v>536870912</v>
    <v>Lesser Poland Voivodeship</v>
    <v>efd58db8-b0c8-2329-0f3a-8adeab450d74</v>
    <v>en-US</v>
    <v>Map</v>
  </rv>
  <rv s="0">
    <v>536870912</v>
    <v>Lublin Voivodeship</v>
    <v>b5dea0b6-7035-ffe9-a5c1-a961fcb0e72e</v>
    <v>en-US</v>
    <v>Map</v>
  </rv>
  <rv s="0">
    <v>536870912</v>
    <v>Masovian Voivodeship</v>
    <v>32cae853-042c-0a77-5173-f511fead52f6</v>
    <v>en-US</v>
    <v>Map</v>
  </rv>
  <rv s="0">
    <v>536870912</v>
    <v>Kuyavian-Pomeranian Voivodeship</v>
    <v>2b254630-1d13-aca8-305f-0841a7ec6b83</v>
    <v>en-US</v>
    <v>Map</v>
  </rv>
  <rv s="0">
    <v>536870912</v>
    <v>Opole Voivodeship</v>
    <v>6a026a5e-de28-6062-3c38-7c6f4181e5bc</v>
    <v>en-US</v>
    <v>Map</v>
  </rv>
  <rv s="0">
    <v>536870912</v>
    <v>Subcarpathian Voivodeship</v>
    <v>f88dda2b-0c12-4d9a-984c-52115296336c</v>
    <v>en-US</v>
    <v>Map</v>
  </rv>
  <rv s="0">
    <v>536870912</v>
    <v>Lubusz Voivodeship</v>
    <v>c0d124dd-136d-3834-1fe8-efd33254942d</v>
    <v>en-US</v>
    <v>Map</v>
  </rv>
  <rv s="0">
    <v>536870912</v>
    <v>Pomeranian Voivodeship</v>
    <v>765662c5-0a8a-9aea-8c1c-c063ec4e16f8</v>
    <v>en-US</v>
    <v>Map</v>
  </rv>
  <rv s="0">
    <v>536870912</v>
    <v>Warmian-Masurian Voivodeship</v>
    <v>eed14489-8bcb-c40c-6362-4e95235cce3f</v>
    <v>en-US</v>
    <v>Map</v>
  </rv>
  <rv s="0">
    <v>536870912</v>
    <v>Silesian Voivodeship</v>
    <v>21f7e450-daba-be7f-4ac9-7f73980437c9</v>
    <v>en-US</v>
    <v>Map</v>
  </rv>
  <rv s="0">
    <v>536870912</v>
    <v>Podlaskie Voivodeship</v>
    <v>82774917-52f8-91a2-e0f4-7810458bd6ed</v>
    <v>en-US</v>
    <v>Map</v>
  </rv>
  <rv s="0">
    <v>536870912</v>
    <v>West Pomeranian Voivodeship</v>
    <v>af2cc162-3439-53b4-582b-cb4495bdbf8e</v>
    <v>en-US</v>
    <v>Map</v>
  </rv>
  <rv s="0">
    <v>536870912</v>
    <v>Greater Poland Voivodeship</v>
    <v>edec10d8-3c1d-302b-daa4-5a643ab293e8</v>
    <v>en-US</v>
    <v>Map</v>
  </rv>
  <rv s="3">
    <v>9</v>
  </rv>
  <rv s="1">
    <fb>0.174019561608692</fb>
    <v>23</v>
  </rv>
  <rv s="1">
    <fb>0.40799999999999997</fb>
    <v>23</v>
  </rv>
  <rv s="1">
    <fb>3.4739999771118198E-2</fb>
    <v>31</v>
  </rv>
  <rv s="1">
    <fb>22796574</fb>
    <v>24</v>
  </rv>
  <rv s="6">
    <v>#VALUE!</v>
    <v>43</v>
    <v>37</v>
    <v>Poland</v>
    <v>19</v>
    <v>20</v>
    <v>Map</v>
    <v>21</v>
    <v>44</v>
    <v>en-US</v>
    <v>1d6059a2-d1f1-d2d7-4261-dc7cd5cdb84b</v>
    <v>536870912</v>
    <v>1</v>
    <v>PL</v>
    <v>160</v>
    <v>161</v>
    <v>162</v>
    <v>163</v>
    <v>164</v>
    <v>165</v>
    <v>166</v>
    <v>167</v>
    <v>168</v>
    <v>PLN</v>
    <v>Poland, officially the Republic of Poland, is a country in Central Europe. It is divided into 16 administrative provinces called voivodeships, covering an area of 312,700 km². Poland has a population of over 38 million and is the fifth most ...</v>
    <v>169</v>
    <v>170</v>
    <v>171</v>
    <v>172</v>
    <v>173</v>
    <v>174</v>
    <v>175</v>
    <v>176</v>
    <v>177</v>
    <v>178</v>
    <v>165</v>
    <v>181</v>
    <v>182</v>
    <v>183</v>
    <v>184</v>
    <v>185</v>
    <v>186</v>
    <v>Poland</v>
    <v>Poland Is Not Yet Lost</v>
    <v>187</v>
    <v>Rzeczpospolita Polska</v>
    <v>188</v>
    <v>189</v>
    <v>190</v>
    <v>191</v>
    <v>192</v>
    <v>193</v>
    <v>35</v>
    <v>194</v>
    <v>195</v>
    <v>196</v>
    <v>197</v>
    <v>214</v>
    <v>215</v>
    <v>216</v>
    <v>217</v>
    <v>Poland</v>
    <v>218</v>
    <v>mdp/vdpid/191</v>
  </rv>
  <rv s="0">
    <v>536870912</v>
    <v>Brazil</v>
    <v>a828cf41-b938-49fe-7986-4b336618d413</v>
    <v>en-US</v>
    <v>Map</v>
  </rv>
  <rv s="1">
    <fb>0.33924533448829503</fb>
    <v>23</v>
  </rv>
  <rv s="1">
    <fb>8515767</fb>
    <v>24</v>
  </rv>
  <rv s="1">
    <fb>730000</fb>
    <v>24</v>
  </rv>
  <rv s="1">
    <fb>13.923999999999999</fb>
    <v>25</v>
  </rv>
  <rv s="1">
    <fb>55</fb>
    <v>26</v>
  </rv>
  <rv s="0">
    <v>536870912</v>
    <v>Brasília</v>
    <v>0f4c1a26-f33c-b6de-a63f-578da6617369</v>
    <v>en-US</v>
    <v>Map</v>
  </rv>
  <rv s="1">
    <fb>462298.69</fb>
    <v>24</v>
  </rv>
  <rv s="1">
    <fb>167.397860280061</fb>
    <v>27</v>
  </rv>
  <rv s="1">
    <fb>3.7329762121689397E-2</fb>
    <v>23</v>
  </rv>
  <rv s="1">
    <fb>2619.96061573831</fb>
    <v>24</v>
  </rv>
  <rv s="1">
    <fb>1.73</fb>
    <v>25</v>
  </rv>
  <rv s="1">
    <fb>0.58931054038338704</fb>
    <v>23</v>
  </rv>
  <rv s="1">
    <fb>59.1075326389753</fb>
    <v>28</v>
  </rv>
  <rv s="1">
    <fb>1.02</fb>
    <v>29</v>
  </rv>
  <rv s="1">
    <fb>1839758040765.6201</fb>
    <v>30</v>
  </rv>
  <rv s="1">
    <fb>1.1544783999999999</fb>
    <v>23</v>
  </rv>
  <rv s="1">
    <fb>0.513436</fb>
    <v>23</v>
  </rv>
  <rv s="2">
    <v>3</v>
    <v>21</v>
    <v>46</v>
    <v>7</v>
    <v>0</v>
    <v>Image of Brazil</v>
  </rv>
  <rv s="1">
    <fb>12.8</fb>
    <v>28</v>
  </rv>
  <rv s="0">
    <v>536870912</v>
    <v>São Paulo</v>
    <v>c6cf2f6e-626c-4267-ae48-9e13ea74d2b9</v>
    <v>en-US</v>
    <v>Map</v>
  </rv>
  <rv s="0">
    <v>805306368</v>
    <v>Luiz Inácio Lula da Silva (President)</v>
    <v>d1dff6dd-e1d9-642a-4044-fc3f6765ae2b</v>
    <v>en-US</v>
    <v>Generic</v>
  </rv>
  <rv s="0">
    <v>805306368</v>
    <v>Geraldo Alckmin (Vice president)</v>
    <v>ea2c259d-ca87-ae96-81e3-8e0b97870fa3</v>
    <v>en-US</v>
    <v>Generic</v>
  </rv>
  <rv s="3">
    <v>10</v>
  </rv>
  <rv s="4">
    <v>https://www.bing.com/search?q=brazil&amp;form=skydnc</v>
    <v>Learn more on Bing</v>
  </rv>
  <rv s="1">
    <fb>75.671999999999997</fb>
    <v>28</v>
  </rv>
  <rv s="1">
    <fb>1187361690000</fb>
    <v>30</v>
  </rv>
  <rv s="1">
    <fb>60</fb>
    <v>28</v>
  </rv>
  <rv s="1">
    <fb>1.53</fb>
    <v>29</v>
  </rv>
  <rv s="3">
    <v>11</v>
  </rv>
  <rv s="1">
    <fb>0.28289823089999999</fb>
    <v>23</v>
  </rv>
  <rv s="1">
    <fb>2.1499000000000001</fb>
    <v>25</v>
  </rv>
  <rv s="1">
    <fb>215313498</fb>
    <v>24</v>
  </rv>
  <rv s="1">
    <fb>0.192</fb>
    <v>23</v>
  </rv>
  <rv s="1">
    <fb>0.42499999999999999</fb>
    <v>23</v>
  </rv>
  <rv s="1">
    <fb>0.58399999999999996</fb>
    <v>23</v>
  </rv>
  <rv s="1">
    <fb>0.01</fb>
    <v>23</v>
  </rv>
  <rv s="1">
    <fb>3.1E-2</fb>
    <v>23</v>
  </rv>
  <rv s="1">
    <fb>7.2999999999999995E-2</fb>
    <v>23</v>
  </rv>
  <rv s="1">
    <fb>0.12</fb>
    <v>23</v>
  </rv>
  <rv s="1">
    <fb>0.63883998870849601</fb>
    <v>23</v>
  </rv>
  <rv s="0">
    <v>536870912</v>
    <v>Acre</v>
    <v>8960bf27-5261-01d1-4019-e7d898f67bb4</v>
    <v>en-US</v>
    <v>Map</v>
  </rv>
  <rv s="0">
    <v>536870912</v>
    <v>Amapá</v>
    <v>28d39e09-4b9f-31f6-cc72-48b1f9be59db</v>
    <v>en-US</v>
    <v>Map</v>
  </rv>
  <rv s="0">
    <v>536870912</v>
    <v>Amazonas</v>
    <v>f79e57ca-6fc1-5a6a-015b-38d90f33902f</v>
    <v>en-US</v>
    <v>Map</v>
  </rv>
  <rv s="0">
    <v>536870912</v>
    <v>Pará</v>
    <v>7a0db70a-73db-e83d-e548-6fab7a523b35</v>
    <v>en-US</v>
    <v>Map</v>
  </rv>
  <rv s="0">
    <v>536870912</v>
    <v>Rondônia</v>
    <v>25fbe5d5-9bc1-0ec2-ac78-2d9fe5b147dd</v>
    <v>en-US</v>
    <v>Map</v>
  </rv>
  <rv s="0">
    <v>536870912</v>
    <v>Roraima</v>
    <v>3b8383a2-7c79-31f6-2359-bd9ba2099213</v>
    <v>en-US</v>
    <v>Map</v>
  </rv>
  <rv s="0">
    <v>536870912</v>
    <v>Tocantins</v>
    <v>f7a46dfe-e192-d6f7-e5f8-084e555ba7cb</v>
    <v>en-US</v>
    <v>Map</v>
  </rv>
  <rv s="0">
    <v>536870912</v>
    <v>Alagoas</v>
    <v>4e3f1ba4-1948-0514-728a-55b34ab027b4</v>
    <v>en-US</v>
    <v>Map</v>
  </rv>
  <rv s="0">
    <v>536870912</v>
    <v>Bahia</v>
    <v>e904684f-6d5b-f7bb-c27d-bdb50a0ec8ab</v>
    <v>en-US</v>
    <v>Map</v>
  </rv>
  <rv s="0">
    <v>536870912</v>
    <v>Ceará</v>
    <v>b598e20e-29fb-ccf6-be0e-2650e6ba40c5</v>
    <v>en-US</v>
    <v>Map</v>
  </rv>
  <rv s="0">
    <v>536870912</v>
    <v>Maranhão</v>
    <v>98274980-9da4-ff5e-78a1-e512bb4179ca</v>
    <v>en-US</v>
    <v>Map</v>
  </rv>
  <rv s="0">
    <v>536870912</v>
    <v>Paraíba</v>
    <v>f5be810b-3322-2252-c10f-35206d84b548</v>
    <v>en-US</v>
    <v>Map</v>
  </rv>
  <rv s="0">
    <v>536870912</v>
    <v>Pernambuco</v>
    <v>5538aab1-15ae-294f-2c10-f5083201cca1</v>
    <v>en-US</v>
    <v>Map</v>
  </rv>
  <rv s="0">
    <v>536870912</v>
    <v>Piauí</v>
    <v>ab11433a-8357-ae6d-67fe-8570cc271399</v>
    <v>en-US</v>
    <v>Map</v>
  </rv>
  <rv s="0">
    <v>536870912</v>
    <v>Rio Grande do Norte</v>
    <v>4cccb40d-d26b-4493-e031-bcf803f1c2b1</v>
    <v>en-US</v>
    <v>Map</v>
  </rv>
  <rv s="0">
    <v>536870912</v>
    <v>Sergipe</v>
    <v>a7f70762-a1ab-d5de-8bf0-3eb8532c1eb9</v>
    <v>en-US</v>
    <v>Map</v>
  </rv>
  <rv s="0">
    <v>536870912</v>
    <v>Goiás</v>
    <v>38750702-647a-b72a-2cec-e4a55e078f36</v>
    <v>en-US</v>
    <v>Map</v>
  </rv>
  <rv s="0">
    <v>536870912</v>
    <v>Mato Grosso</v>
    <v>af05c757-4d77-813e-b8eb-97635c07f37a</v>
    <v>en-US</v>
    <v>Map</v>
  </rv>
  <rv s="0">
    <v>536870912</v>
    <v>Mato Grosso do Sul</v>
    <v>7de24933-1d79-fc85-387b-3ce7947910b6</v>
    <v>en-US</v>
    <v>Map</v>
  </rv>
  <rv s="0">
    <v>536870912</v>
    <v>Espírito Santo</v>
    <v>dbc4d679-53e7-49d7-c6b3-88a4ca7f522f</v>
    <v>en-US</v>
    <v>Map</v>
  </rv>
  <rv s="0">
    <v>536870912</v>
    <v>Minas Gerais</v>
    <v>974e2066-dee0-aecd-c973-50babb750033</v>
    <v>en-US</v>
    <v>Map</v>
  </rv>
  <rv s="0">
    <v>536870912</v>
    <v>Rio de Janeiro</v>
    <v>3f5a22fa-26bd-86f9-0345-3a6206e8aab5</v>
    <v>en-US</v>
    <v>Map</v>
  </rv>
  <rv s="0">
    <v>536870912</v>
    <v>São Paulo</v>
    <v>4d56ae2d-1aad-8c4f-dca2-4456acc12f89</v>
    <v>en-US</v>
    <v>Map</v>
  </rv>
  <rv s="0">
    <v>536870912</v>
    <v>Paraná</v>
    <v>a33450c4-459a-0682-41ee-635b343dd785</v>
    <v>en-US</v>
    <v>Map</v>
  </rv>
  <rv s="0">
    <v>536870912</v>
    <v>Rio Grande do Sul</v>
    <v>9644dbbf-be0c-de9c-a534-3d7ff4801a8b</v>
    <v>en-US</v>
    <v>Map</v>
  </rv>
  <rv s="0">
    <v>536870912</v>
    <v>Santa Catarina</v>
    <v>6262969d-76c7-e65f-1be5-668011a93ff0</v>
    <v>en-US</v>
    <v>Map</v>
  </rv>
  <rv s="0">
    <v>536870912</v>
    <v>Federal District</v>
    <v>88dfc3b6-8e7a-694d-61b2-96d14f226ec4</v>
    <v>en-US</v>
    <v>Map</v>
  </rv>
  <rv s="3">
    <v>12</v>
  </rv>
  <rv s="1">
    <fb>0.14178605589771201</fb>
    <v>23</v>
  </rv>
  <rv s="1">
    <fb>0.65099999999999991</fb>
    <v>23</v>
  </rv>
  <rv s="1">
    <fb>0.12083000183105501</fb>
    <v>31</v>
  </rv>
  <rv s="1">
    <fb>183241641</fb>
    <v>24</v>
  </rv>
  <rv s="6">
    <v>#VALUE!</v>
    <v>49</v>
    <v>37</v>
    <v>Brazil</v>
    <v>19</v>
    <v>20</v>
    <v>Map</v>
    <v>21</v>
    <v>50</v>
    <v>en-US</v>
    <v>a828cf41-b938-49fe-7986-4b336618d413</v>
    <v>536870912</v>
    <v>1</v>
    <v>BR</v>
    <v>221</v>
    <v>222</v>
    <v>223</v>
    <v>224</v>
    <v>225</v>
    <v>226</v>
    <v>227</v>
    <v>228</v>
    <v>229</v>
    <v>BRL</v>
    <v>Brazil, officially the Federative Republic of Brazil, is the largest country in South America and in Latin America. Brazil is the world's fifth-largest country by area and the seventh most populous. Its capital is Brasília, and its most populous ...</v>
    <v>230</v>
    <v>231</v>
    <v>232</v>
    <v>233</v>
    <v>234</v>
    <v>235</v>
    <v>236</v>
    <v>237</v>
    <v>238</v>
    <v>239</v>
    <v>240</v>
    <v>243</v>
    <v>244</v>
    <v>245</v>
    <v>246</v>
    <v>247</v>
    <v>248</v>
    <v>Brazil</v>
    <v>Brazilian National Anthem</v>
    <v>249</v>
    <v>República Federativa do Brasil</v>
    <v>250</v>
    <v>251</v>
    <v>252</v>
    <v>253</v>
    <v>254</v>
    <v>255</v>
    <v>256</v>
    <v>257</v>
    <v>258</v>
    <v>259</v>
    <v>260</v>
    <v>288</v>
    <v>289</v>
    <v>290</v>
    <v>291</v>
    <v>Brazil</v>
    <v>292</v>
    <v>mdp/vdpid/32</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2">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spbArrays>
  <spbData count="51">
    <spb s="0">
      <v xml:space="preserve">data.worldbank.org	</v>
      <v xml:space="preserve">	</v>
      <v xml:space="preserve">http://data.worldbank.org/indicator/FP.CPI.TOTL	</v>
      <v xml:space="preserve">	</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8">
      <v>3</v>
    </spb>
    <spb s="8">
      <v>4</v>
    </spb>
    <spb s="8">
      <v>5</v>
    </spb>
    <spb s="8">
      <v>6</v>
    </spb>
    <spb s="8">
      <v>7</v>
    </spb>
    <spb s="8">
      <v>8</v>
    </spb>
    <spb s="8">
      <v>9</v>
    </spb>
    <spb s="8">
      <v>10</v>
    </spb>
    <spb s="8">
      <v>11</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1">
      <v>0</v>
      <v>32</v>
      <v>33</v>
      <v>33</v>
      <v>3</v>
      <v>33</v>
      <v>33</v>
      <v>33</v>
      <v>34</v>
      <v>33</v>
      <v>33</v>
      <v>34</v>
      <v>33</v>
      <v>33</v>
      <v>35</v>
      <v>6</v>
      <v>32</v>
      <v>35</v>
      <v>7</v>
      <v>33</v>
      <v>35</v>
      <v>8</v>
      <v>9</v>
      <v>10</v>
      <v>35</v>
      <v>35</v>
      <v>33</v>
      <v>35</v>
      <v>11</v>
      <v>12</v>
      <v>13</v>
      <v>14</v>
      <v>35</v>
      <v>32</v>
      <v>35</v>
      <v>35</v>
      <v>35</v>
      <v>35</v>
      <v>35</v>
      <v>35</v>
      <v>35</v>
      <v>35</v>
      <v>35</v>
      <v>35</v>
      <v>15</v>
    </spb>
    <spb s="2">
      <v>1</v>
      <v>Name</v>
      <v>LearnMoreOnLink</v>
    </spb>
    <spb s="7">
      <v>2019</v>
      <v>2019</v>
      <v>square km</v>
      <v>per thousand (2018)</v>
      <v>2022</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1">
      <v>0</v>
      <v>39</v>
      <v>40</v>
      <v>40</v>
      <v>3</v>
      <v>40</v>
      <v>40</v>
      <v>40</v>
      <v>41</v>
      <v>40</v>
      <v>40</v>
      <v>41</v>
      <v>40</v>
      <v>40</v>
      <v>42</v>
      <v>6</v>
      <v>39</v>
      <v>42</v>
      <v>7</v>
      <v>40</v>
      <v>42</v>
      <v>8</v>
      <v>9</v>
      <v>10</v>
      <v>42</v>
      <v>42</v>
      <v>40</v>
      <v>42</v>
      <v>11</v>
      <v>12</v>
      <v>13</v>
      <v>14</v>
      <v>42</v>
      <v>39</v>
      <v>42</v>
      <v>42</v>
      <v>42</v>
      <v>42</v>
      <v>42</v>
      <v>42</v>
      <v>42</v>
      <v>42</v>
      <v>42</v>
      <v>42</v>
      <v>15</v>
    </spb>
    <spb s="7">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
      <v>0</v>
      <v>45</v>
      <v>46</v>
      <v>46</v>
      <v>3</v>
      <v>46</v>
      <v>46</v>
      <v>46</v>
      <v>47</v>
      <v>46</v>
      <v>46</v>
      <v>47</v>
      <v>46</v>
      <v>46</v>
      <v>48</v>
      <v>6</v>
      <v>45</v>
      <v>48</v>
      <v>7</v>
      <v>46</v>
      <v>48</v>
      <v>8</v>
      <v>9</v>
      <v>10</v>
      <v>48</v>
      <v>48</v>
      <v>46</v>
      <v>48</v>
      <v>11</v>
      <v>12</v>
      <v>13</v>
      <v>14</v>
      <v>48</v>
      <v>45</v>
      <v>48</v>
      <v>48</v>
      <v>48</v>
      <v>48</v>
      <v>48</v>
      <v>48</v>
      <v>48</v>
      <v>48</v>
      <v>48</v>
      <v>48</v>
      <v>15</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7199CA-41CD-408A-BE89-1BD487FD2B4B}" name="Table1" displayName="Table1" ref="A1:E76" totalsRowShown="0" headerRowDxfId="5">
  <autoFilter ref="A1:E76" xr:uid="{C27199CA-41CD-408A-BE89-1BD487FD2B4B}"/>
  <tableColumns count="5">
    <tableColumn id="1" xr3:uid="{6F592F35-0A19-4B1B-B79B-8984309EC847}" name="Year" dataDxfId="4"/>
    <tableColumn id="2" xr3:uid="{A0346F17-C9E2-499D-A67F-00DA8052C10D}" name="Category" dataDxfId="3"/>
    <tableColumn id="3" xr3:uid="{6B7976F4-4802-4C89-B386-E2C5C2C71F46}" name="Product" dataDxfId="2"/>
    <tableColumn id="4" xr3:uid="{D81C42D1-BD5F-4EB1-9E02-ADB763D8DF03}" name="Sales" dataDxfId="1"/>
    <tableColumn id="5" xr3:uid="{8CF620A5-149A-416B-8FAC-7D63E5E21387}" name="Rating"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6842-4653-49C4-9497-4B5A705A0894}">
  <dimension ref="A1:N14"/>
  <sheetViews>
    <sheetView workbookViewId="0">
      <selection activeCell="R11" sqref="R11"/>
    </sheetView>
  </sheetViews>
  <sheetFormatPr baseColWidth="10" defaultColWidth="8.83203125" defaultRowHeight="15" x14ac:dyDescent="0.2"/>
  <cols>
    <col min="12" max="12" width="11.1640625" customWidth="1"/>
    <col min="13" max="13" width="18.1640625" bestFit="1" customWidth="1"/>
  </cols>
  <sheetData>
    <row r="1" spans="1:14" ht="15" customHeight="1" x14ac:dyDescent="0.2">
      <c r="A1" t="s">
        <v>0</v>
      </c>
      <c r="C1" s="177" t="s">
        <v>1</v>
      </c>
      <c r="D1" s="68" t="s">
        <v>2</v>
      </c>
      <c r="E1" s="68" t="s">
        <v>3</v>
      </c>
      <c r="F1" s="68" t="s">
        <v>4</v>
      </c>
      <c r="G1" s="69" t="s">
        <v>5</v>
      </c>
      <c r="M1" t="s">
        <v>6</v>
      </c>
      <c r="N1" s="2" t="s">
        <v>7</v>
      </c>
    </row>
    <row r="2" spans="1:14" ht="20.25" customHeight="1" x14ac:dyDescent="0.2">
      <c r="A2" s="203" t="s">
        <v>8</v>
      </c>
      <c r="B2" s="204" t="s">
        <v>9</v>
      </c>
      <c r="C2" s="178">
        <v>242</v>
      </c>
      <c r="D2" s="172">
        <v>142</v>
      </c>
      <c r="E2" s="174"/>
      <c r="F2" s="201">
        <v>232</v>
      </c>
      <c r="G2" s="172">
        <v>167</v>
      </c>
      <c r="L2" t="s">
        <v>10</v>
      </c>
      <c r="M2" t="s">
        <v>11</v>
      </c>
      <c r="N2" s="247" t="s">
        <v>12</v>
      </c>
    </row>
    <row r="3" spans="1:14" x14ac:dyDescent="0.2">
      <c r="A3" s="203" t="s">
        <v>13</v>
      </c>
      <c r="B3" s="204" t="s">
        <v>14</v>
      </c>
      <c r="C3" s="178"/>
      <c r="D3" s="201">
        <v>149</v>
      </c>
      <c r="E3" s="201">
        <v>138</v>
      </c>
      <c r="F3" s="176"/>
      <c r="G3" s="90">
        <v>181</v>
      </c>
      <c r="L3" s="238" t="s">
        <v>15</v>
      </c>
      <c r="M3" s="239" t="s">
        <v>16</v>
      </c>
      <c r="N3" s="240">
        <v>216</v>
      </c>
    </row>
    <row r="4" spans="1:14" x14ac:dyDescent="0.2">
      <c r="A4" s="203" t="s">
        <v>17</v>
      </c>
      <c r="B4" s="204" t="s">
        <v>18</v>
      </c>
      <c r="C4" s="178">
        <v>244</v>
      </c>
      <c r="D4" s="172">
        <v>124</v>
      </c>
      <c r="E4" s="172">
        <v>112</v>
      </c>
      <c r="F4" s="172">
        <v>212</v>
      </c>
      <c r="G4" s="201">
        <v>156</v>
      </c>
      <c r="L4" s="241" t="s">
        <v>8</v>
      </c>
      <c r="M4" s="242" t="s">
        <v>9</v>
      </c>
      <c r="N4" s="243">
        <v>167</v>
      </c>
    </row>
    <row r="5" spans="1:14" x14ac:dyDescent="0.2">
      <c r="L5" s="241" t="s">
        <v>19</v>
      </c>
      <c r="M5" s="242" t="s">
        <v>20</v>
      </c>
      <c r="N5" s="243">
        <v>194</v>
      </c>
    </row>
    <row r="6" spans="1:14" x14ac:dyDescent="0.2">
      <c r="L6" s="241" t="s">
        <v>21</v>
      </c>
      <c r="M6" s="242" t="s">
        <v>22</v>
      </c>
      <c r="N6" s="243">
        <v>180</v>
      </c>
    </row>
    <row r="7" spans="1:14" x14ac:dyDescent="0.2">
      <c r="L7" s="241" t="s">
        <v>13</v>
      </c>
      <c r="M7" s="242" t="s">
        <v>14</v>
      </c>
      <c r="N7" s="243">
        <v>181</v>
      </c>
    </row>
    <row r="8" spans="1:14" x14ac:dyDescent="0.2">
      <c r="L8" s="241" t="s">
        <v>23</v>
      </c>
      <c r="M8" s="242" t="s">
        <v>24</v>
      </c>
      <c r="N8" s="243">
        <v>190</v>
      </c>
    </row>
    <row r="9" spans="1:14" x14ac:dyDescent="0.2">
      <c r="A9" s="203" t="s">
        <v>8</v>
      </c>
      <c r="B9" s="204" t="s">
        <v>9</v>
      </c>
      <c r="C9" s="178">
        <v>242</v>
      </c>
      <c r="D9" s="172">
        <v>142</v>
      </c>
      <c r="E9" s="174"/>
      <c r="F9" s="201">
        <v>232</v>
      </c>
      <c r="G9" s="172">
        <v>167</v>
      </c>
      <c r="L9" s="241" t="s">
        <v>17</v>
      </c>
      <c r="M9" s="242" t="s">
        <v>18</v>
      </c>
      <c r="N9" s="243">
        <v>156</v>
      </c>
    </row>
    <row r="10" spans="1:14" x14ac:dyDescent="0.2">
      <c r="L10" s="241" t="s">
        <v>25</v>
      </c>
      <c r="M10" s="242" t="s">
        <v>26</v>
      </c>
      <c r="N10" s="243">
        <v>186</v>
      </c>
    </row>
    <row r="11" spans="1:14" x14ac:dyDescent="0.2">
      <c r="L11" s="241" t="s">
        <v>27</v>
      </c>
      <c r="M11" s="242" t="s">
        <v>28</v>
      </c>
      <c r="N11" s="243">
        <v>181</v>
      </c>
    </row>
    <row r="12" spans="1:14" x14ac:dyDescent="0.2">
      <c r="L12" s="241" t="s">
        <v>29</v>
      </c>
      <c r="M12" s="242" t="s">
        <v>30</v>
      </c>
      <c r="N12" s="243">
        <v>213</v>
      </c>
    </row>
    <row r="13" spans="1:14" x14ac:dyDescent="0.2">
      <c r="L13" s="244" t="s">
        <v>31</v>
      </c>
      <c r="M13" s="245" t="s">
        <v>18</v>
      </c>
      <c r="N13" s="246"/>
    </row>
    <row r="14" spans="1:14" x14ac:dyDescent="0.2">
      <c r="L14" t="s">
        <v>32</v>
      </c>
    </row>
  </sheetData>
  <conditionalFormatting sqref="D2">
    <cfRule type="cellIs" dxfId="35" priority="19" operator="greaterThan">
      <formula>153</formula>
    </cfRule>
  </conditionalFormatting>
  <conditionalFormatting sqref="E2">
    <cfRule type="cellIs" dxfId="34" priority="18" operator="greaterThan">
      <formula>243</formula>
    </cfRule>
  </conditionalFormatting>
  <conditionalFormatting sqref="F2">
    <cfRule type="cellIs" dxfId="33" priority="17" operator="greaterThan">
      <formula>243</formula>
    </cfRule>
  </conditionalFormatting>
  <conditionalFormatting sqref="G2">
    <cfRule type="cellIs" dxfId="32" priority="16" operator="greaterThan">
      <formula>166</formula>
    </cfRule>
  </conditionalFormatting>
  <conditionalFormatting sqref="D3">
    <cfRule type="cellIs" dxfId="31" priority="15" operator="greaterThan">
      <formula>153</formula>
    </cfRule>
  </conditionalFormatting>
  <conditionalFormatting sqref="E3">
    <cfRule type="cellIs" dxfId="30" priority="14" operator="greaterThan">
      <formula>243</formula>
    </cfRule>
  </conditionalFormatting>
  <conditionalFormatting sqref="F3">
    <cfRule type="cellIs" dxfId="29" priority="13" operator="greaterThan">
      <formula>243</formula>
    </cfRule>
  </conditionalFormatting>
  <conditionalFormatting sqref="G3">
    <cfRule type="cellIs" dxfId="28" priority="12" operator="greaterThan">
      <formula>166</formula>
    </cfRule>
  </conditionalFormatting>
  <conditionalFormatting sqref="D4">
    <cfRule type="cellIs" dxfId="27" priority="11" operator="greaterThan">
      <formula>153</formula>
    </cfRule>
  </conditionalFormatting>
  <conditionalFormatting sqref="E4">
    <cfRule type="cellIs" dxfId="26" priority="10" operator="greaterThan">
      <formula>243</formula>
    </cfRule>
  </conditionalFormatting>
  <conditionalFormatting sqref="F4">
    <cfRule type="cellIs" dxfId="25" priority="9" operator="greaterThan">
      <formula>243</formula>
    </cfRule>
  </conditionalFormatting>
  <conditionalFormatting sqref="G4">
    <cfRule type="cellIs" dxfId="24" priority="8" operator="greaterThan">
      <formula>166</formula>
    </cfRule>
  </conditionalFormatting>
  <conditionalFormatting sqref="D9">
    <cfRule type="cellIs" dxfId="23" priority="7" operator="greaterThan">
      <formula>153</formula>
    </cfRule>
  </conditionalFormatting>
  <conditionalFormatting sqref="E9">
    <cfRule type="cellIs" dxfId="22" priority="6" operator="greaterThan">
      <formula>243</formula>
    </cfRule>
  </conditionalFormatting>
  <conditionalFormatting sqref="F9">
    <cfRule type="cellIs" dxfId="21" priority="5" operator="greaterThan">
      <formula>243</formula>
    </cfRule>
  </conditionalFormatting>
  <conditionalFormatting sqref="G9">
    <cfRule type="cellIs" dxfId="20" priority="4" operator="greaterThan">
      <formula>166</formula>
    </cfRule>
  </conditionalFormatting>
  <conditionalFormatting sqref="N13">
    <cfRule type="cellIs" dxfId="19" priority="3" operator="greaterThan">
      <formula>166</formula>
    </cfRule>
  </conditionalFormatting>
  <conditionalFormatting sqref="N3:N13">
    <cfRule type="cellIs" dxfId="18" priority="2" operator="greaterThan">
      <formula>166</formula>
    </cfRule>
  </conditionalFormatting>
  <conditionalFormatting sqref="N9">
    <cfRule type="cellIs" dxfId="17" priority="1" operator="lessThan">
      <formula>166</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725CE-F7D4-402B-9181-C1AC44FC2C9D}">
  <dimension ref="A4:H9"/>
  <sheetViews>
    <sheetView workbookViewId="0">
      <selection activeCell="E15" sqref="E15"/>
    </sheetView>
  </sheetViews>
  <sheetFormatPr baseColWidth="10" defaultColWidth="8.83203125" defaultRowHeight="15" x14ac:dyDescent="0.2"/>
  <cols>
    <col min="1" max="1" width="15" bestFit="1" customWidth="1"/>
    <col min="2" max="2" width="14.6640625" bestFit="1" customWidth="1"/>
    <col min="4" max="4" width="14" bestFit="1" customWidth="1"/>
    <col min="5" max="5" width="13.6640625" bestFit="1" customWidth="1"/>
    <col min="7" max="7" width="10.83203125" bestFit="1" customWidth="1"/>
    <col min="8" max="8" width="13" bestFit="1" customWidth="1"/>
  </cols>
  <sheetData>
    <row r="4" spans="1:8" x14ac:dyDescent="0.2">
      <c r="A4" s="248" t="s">
        <v>24</v>
      </c>
      <c r="B4" s="248"/>
      <c r="C4" s="211"/>
      <c r="D4" s="248" t="s">
        <v>9</v>
      </c>
      <c r="E4" s="248"/>
      <c r="F4" s="211"/>
      <c r="G4" s="248" t="s">
        <v>18</v>
      </c>
      <c r="H4" s="248"/>
    </row>
    <row r="5" spans="1:8" x14ac:dyDescent="0.2">
      <c r="A5" s="211"/>
      <c r="B5" s="211"/>
      <c r="C5" s="211"/>
      <c r="D5" s="211"/>
      <c r="E5" s="211"/>
      <c r="F5" s="211"/>
      <c r="G5" s="211"/>
      <c r="H5" s="211"/>
    </row>
    <row r="6" spans="1:8" x14ac:dyDescent="0.2">
      <c r="A6" s="211" t="s">
        <v>2</v>
      </c>
      <c r="B6" s="212">
        <v>2600000</v>
      </c>
      <c r="C6" s="211"/>
      <c r="D6" s="211" t="s">
        <v>33</v>
      </c>
      <c r="E6" s="213">
        <v>3482000</v>
      </c>
      <c r="F6" s="211"/>
      <c r="G6" s="211" t="s">
        <v>34</v>
      </c>
      <c r="H6" s="235">
        <v>202000</v>
      </c>
    </row>
    <row r="7" spans="1:8" x14ac:dyDescent="0.2">
      <c r="A7" s="211" t="s">
        <v>3</v>
      </c>
      <c r="B7" s="235">
        <v>700000</v>
      </c>
      <c r="C7" s="211"/>
      <c r="D7" s="211" t="s">
        <v>34</v>
      </c>
      <c r="E7" s="235">
        <v>516000</v>
      </c>
      <c r="F7" s="211"/>
      <c r="G7" s="211"/>
      <c r="H7" s="211"/>
    </row>
    <row r="9" spans="1:8" x14ac:dyDescent="0.2">
      <c r="E9" s="224"/>
    </row>
  </sheetData>
  <mergeCells count="3">
    <mergeCell ref="A4:B4"/>
    <mergeCell ref="D4:E4"/>
    <mergeCell ref="G4:H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20DDC-8BE9-4A39-8F56-2ED7A28273FA}">
  <dimension ref="B1:Y35"/>
  <sheetViews>
    <sheetView tabSelected="1" topLeftCell="I1" workbookViewId="0">
      <selection activeCell="R11" sqref="R11"/>
    </sheetView>
  </sheetViews>
  <sheetFormatPr baseColWidth="10" defaultColWidth="8.83203125" defaultRowHeight="15" x14ac:dyDescent="0.2"/>
  <cols>
    <col min="1" max="1" width="15.33203125" bestFit="1" customWidth="1"/>
    <col min="2" max="2" width="11.83203125" bestFit="1" customWidth="1"/>
    <col min="3" max="3" width="13" bestFit="1" customWidth="1"/>
    <col min="9" max="9" width="29.1640625" bestFit="1" customWidth="1"/>
    <col min="10" max="10" width="14.6640625" bestFit="1" customWidth="1"/>
    <col min="12" max="12" width="13" bestFit="1" customWidth="1"/>
    <col min="13" max="13" width="16.5" bestFit="1" customWidth="1"/>
    <col min="16" max="16" width="24.1640625" bestFit="1" customWidth="1"/>
    <col min="17" max="17" width="13.6640625" bestFit="1" customWidth="1"/>
    <col min="18" max="18" width="10.83203125" bestFit="1" customWidth="1"/>
    <col min="21" max="21" width="14.6640625" bestFit="1" customWidth="1"/>
    <col min="24" max="24" width="10.33203125" bestFit="1" customWidth="1"/>
  </cols>
  <sheetData>
    <row r="1" spans="2:25" x14ac:dyDescent="0.2">
      <c r="I1" s="249" t="s">
        <v>35</v>
      </c>
      <c r="J1" s="249"/>
      <c r="K1" s="249"/>
      <c r="L1" s="249"/>
      <c r="O1" s="249" t="s">
        <v>36</v>
      </c>
      <c r="P1" s="249"/>
      <c r="Q1" s="249"/>
      <c r="R1" s="249"/>
    </row>
    <row r="3" spans="2:25" x14ac:dyDescent="0.2">
      <c r="I3" s="211" t="s">
        <v>24</v>
      </c>
      <c r="J3" s="211"/>
      <c r="K3" s="211" t="s">
        <v>37</v>
      </c>
      <c r="L3" s="211" t="s">
        <v>38</v>
      </c>
      <c r="M3" s="211" t="s">
        <v>39</v>
      </c>
      <c r="P3" s="211" t="s">
        <v>37</v>
      </c>
      <c r="Q3" s="211" t="s">
        <v>38</v>
      </c>
      <c r="R3" s="211" t="s">
        <v>39</v>
      </c>
    </row>
    <row r="4" spans="2:25" x14ac:dyDescent="0.2">
      <c r="I4" s="211"/>
      <c r="J4" s="211" t="s">
        <v>2</v>
      </c>
      <c r="K4" s="211">
        <v>20</v>
      </c>
      <c r="L4" s="212">
        <f>K4*M4</f>
        <v>650000</v>
      </c>
      <c r="M4" s="212">
        <v>32500</v>
      </c>
      <c r="P4" s="211">
        <v>60</v>
      </c>
      <c r="Q4" s="213">
        <f>R4*P4</f>
        <v>1950000</v>
      </c>
      <c r="R4" s="213">
        <v>32500</v>
      </c>
      <c r="U4" s="210">
        <f>L4+Q4</f>
        <v>2600000</v>
      </c>
    </row>
    <row r="5" spans="2:25" x14ac:dyDescent="0.2">
      <c r="I5" s="211"/>
      <c r="J5" s="211" t="s">
        <v>3</v>
      </c>
      <c r="K5" s="211">
        <v>50</v>
      </c>
      <c r="L5" s="212">
        <f>K5*M5</f>
        <v>175000</v>
      </c>
      <c r="M5" s="212">
        <v>3500</v>
      </c>
      <c r="P5" s="211">
        <v>150</v>
      </c>
      <c r="Q5" s="213">
        <f>R5*P5</f>
        <v>525000</v>
      </c>
      <c r="R5" s="213">
        <v>3500</v>
      </c>
      <c r="U5" s="210">
        <f>L5+Q5</f>
        <v>700000</v>
      </c>
    </row>
    <row r="6" spans="2:25" x14ac:dyDescent="0.2">
      <c r="B6" s="210"/>
      <c r="C6" s="210"/>
    </row>
    <row r="9" spans="2:25" x14ac:dyDescent="0.2">
      <c r="I9" s="211" t="s">
        <v>9</v>
      </c>
      <c r="J9" s="211"/>
      <c r="K9" s="211" t="s">
        <v>37</v>
      </c>
      <c r="L9" s="211" t="s">
        <v>38</v>
      </c>
      <c r="M9" s="211" t="s">
        <v>39</v>
      </c>
      <c r="P9" s="211" t="s">
        <v>37</v>
      </c>
      <c r="Q9" s="211" t="s">
        <v>38</v>
      </c>
      <c r="R9" s="211" t="s">
        <v>39</v>
      </c>
    </row>
    <row r="10" spans="2:25" x14ac:dyDescent="0.2">
      <c r="I10" s="211"/>
      <c r="J10" s="211" t="s">
        <v>33</v>
      </c>
      <c r="K10" s="211">
        <v>10</v>
      </c>
      <c r="L10" s="213">
        <f>M10*K10</f>
        <v>870500</v>
      </c>
      <c r="M10" s="213">
        <v>87050</v>
      </c>
      <c r="P10" s="211">
        <v>30</v>
      </c>
      <c r="Q10" s="213">
        <v>2611500</v>
      </c>
      <c r="R10" s="213">
        <f>M10</f>
        <v>87050</v>
      </c>
      <c r="U10" s="224">
        <f>L10+Q10</f>
        <v>3482000</v>
      </c>
    </row>
    <row r="11" spans="2:25" x14ac:dyDescent="0.2">
      <c r="J11" t="s">
        <v>34</v>
      </c>
      <c r="K11">
        <v>0</v>
      </c>
      <c r="L11" s="224">
        <f>M11*K11</f>
        <v>0</v>
      </c>
      <c r="M11" s="224">
        <v>8600</v>
      </c>
      <c r="P11" s="211">
        <v>60</v>
      </c>
      <c r="Q11" s="213">
        <f>R11*P11</f>
        <v>516000</v>
      </c>
      <c r="R11" s="213">
        <v>8600</v>
      </c>
      <c r="U11" s="224">
        <f>Q11</f>
        <v>516000</v>
      </c>
    </row>
    <row r="13" spans="2:25" x14ac:dyDescent="0.2">
      <c r="I13" s="211" t="s">
        <v>18</v>
      </c>
      <c r="J13" s="211"/>
      <c r="K13" s="211" t="s">
        <v>37</v>
      </c>
      <c r="L13" s="211" t="s">
        <v>38</v>
      </c>
      <c r="M13" s="211" t="s">
        <v>39</v>
      </c>
      <c r="P13" s="211" t="s">
        <v>37</v>
      </c>
      <c r="Q13" s="211" t="s">
        <v>38</v>
      </c>
      <c r="R13" s="211" t="s">
        <v>40</v>
      </c>
    </row>
    <row r="14" spans="2:25" x14ac:dyDescent="0.2">
      <c r="I14" s="211"/>
      <c r="J14" s="211" t="s">
        <v>34</v>
      </c>
      <c r="K14" s="211">
        <v>20</v>
      </c>
      <c r="L14" s="213">
        <v>202000</v>
      </c>
      <c r="M14" s="213">
        <v>10100</v>
      </c>
      <c r="P14" s="211"/>
      <c r="Q14" s="213"/>
      <c r="R14" s="213"/>
      <c r="U14" s="224">
        <f>L14</f>
        <v>202000</v>
      </c>
      <c r="V14" s="103"/>
      <c r="W14" s="105"/>
      <c r="X14" s="105"/>
      <c r="Y14" s="104"/>
    </row>
    <row r="17" spans="9:16" x14ac:dyDescent="0.2">
      <c r="I17" s="211" t="s">
        <v>41</v>
      </c>
      <c r="J17" s="211"/>
      <c r="K17" s="211"/>
      <c r="L17" s="211"/>
      <c r="M17" s="211" t="s">
        <v>42</v>
      </c>
      <c r="N17" s="211"/>
      <c r="O17" s="211"/>
      <c r="P17" s="211" t="s">
        <v>43</v>
      </c>
    </row>
    <row r="18" spans="9:16" x14ac:dyDescent="0.2">
      <c r="I18" s="211"/>
      <c r="J18" s="211"/>
      <c r="K18" s="211"/>
      <c r="L18" s="211"/>
      <c r="M18" s="211"/>
      <c r="N18" s="211"/>
      <c r="O18" s="211"/>
      <c r="P18" s="211"/>
    </row>
    <row r="19" spans="9:16" x14ac:dyDescent="0.2">
      <c r="I19" s="211" t="s">
        <v>24</v>
      </c>
      <c r="J19" s="211"/>
      <c r="K19" s="211"/>
      <c r="L19" s="211"/>
      <c r="M19" s="211"/>
      <c r="N19" s="250"/>
      <c r="O19" s="248"/>
      <c r="P19" s="211"/>
    </row>
    <row r="20" spans="9:16" x14ac:dyDescent="0.2">
      <c r="I20" s="211"/>
      <c r="J20" s="212">
        <f>L4+L5+Q4+Q5</f>
        <v>3300000</v>
      </c>
      <c r="K20" s="211"/>
      <c r="L20" s="211"/>
      <c r="M20" s="212">
        <f>J20*0.1</f>
        <v>330000</v>
      </c>
      <c r="N20" s="211"/>
      <c r="O20" s="211"/>
      <c r="P20" s="212">
        <f>J20-M20</f>
        <v>2970000</v>
      </c>
    </row>
    <row r="21" spans="9:16" x14ac:dyDescent="0.2">
      <c r="I21" s="211"/>
      <c r="J21" s="211"/>
      <c r="K21" s="211"/>
      <c r="L21" s="211"/>
      <c r="M21" s="211"/>
      <c r="N21" s="211"/>
      <c r="O21" s="211"/>
      <c r="P21" s="211"/>
    </row>
    <row r="22" spans="9:16" x14ac:dyDescent="0.2">
      <c r="I22" s="211" t="s">
        <v>9</v>
      </c>
      <c r="J22" s="211"/>
      <c r="K22" s="211"/>
      <c r="L22" s="211"/>
      <c r="M22" s="211"/>
      <c r="N22" s="211"/>
      <c r="O22" s="211"/>
      <c r="P22" s="211"/>
    </row>
    <row r="23" spans="9:16" x14ac:dyDescent="0.2">
      <c r="I23" s="211"/>
      <c r="J23" s="213">
        <f>L10+Q10+Q11</f>
        <v>3998000</v>
      </c>
      <c r="K23" s="211"/>
      <c r="L23" s="211"/>
      <c r="M23" s="213">
        <f>J23*0.1</f>
        <v>399800</v>
      </c>
      <c r="N23" s="211"/>
      <c r="O23" s="211"/>
      <c r="P23" s="213">
        <f>J23-M23</f>
        <v>3598200</v>
      </c>
    </row>
    <row r="24" spans="9:16" x14ac:dyDescent="0.2">
      <c r="I24" s="211"/>
      <c r="J24" s="211"/>
      <c r="K24" s="211"/>
      <c r="L24" s="211"/>
      <c r="M24" s="211"/>
      <c r="N24" s="211"/>
      <c r="O24" s="211"/>
      <c r="P24" s="211"/>
    </row>
    <row r="25" spans="9:16" x14ac:dyDescent="0.2">
      <c r="I25" s="211" t="s">
        <v>18</v>
      </c>
      <c r="J25" s="213">
        <f>L14+Q14</f>
        <v>202000</v>
      </c>
      <c r="K25" s="211"/>
      <c r="L25" s="211"/>
      <c r="M25" s="213">
        <v>0</v>
      </c>
      <c r="N25" s="211"/>
      <c r="O25" s="211"/>
      <c r="P25" s="214">
        <f>J25</f>
        <v>202000</v>
      </c>
    </row>
    <row r="26" spans="9:16" x14ac:dyDescent="0.2">
      <c r="P26" s="211"/>
    </row>
    <row r="27" spans="9:16" x14ac:dyDescent="0.2">
      <c r="P27" s="211" t="s">
        <v>44</v>
      </c>
    </row>
    <row r="28" spans="9:16" x14ac:dyDescent="0.2">
      <c r="P28" s="211"/>
    </row>
    <row r="29" spans="9:16" x14ac:dyDescent="0.2">
      <c r="P29" s="212">
        <f>P20+P23+P25</f>
        <v>6770200</v>
      </c>
    </row>
    <row r="32" spans="9:16" ht="31" x14ac:dyDescent="0.45">
      <c r="I32" s="251"/>
      <c r="J32" s="252"/>
    </row>
    <row r="33" spans="9:10" ht="16" x14ac:dyDescent="0.2">
      <c r="I33" s="4"/>
      <c r="J33" s="27"/>
    </row>
    <row r="34" spans="9:10" ht="16" x14ac:dyDescent="0.2">
      <c r="I34" s="5"/>
      <c r="J34" s="18"/>
    </row>
    <row r="35" spans="9:10" ht="16" x14ac:dyDescent="0.2">
      <c r="I35" s="6"/>
      <c r="J35" s="19"/>
    </row>
  </sheetData>
  <mergeCells count="4">
    <mergeCell ref="I1:L1"/>
    <mergeCell ref="O1:R1"/>
    <mergeCell ref="N19:O19"/>
    <mergeCell ref="I32:J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84127-9CD5-431C-929D-93A8E263AD18}">
  <dimension ref="A1:AR112"/>
  <sheetViews>
    <sheetView topLeftCell="AE2" zoomScale="120" zoomScaleNormal="120" workbookViewId="0">
      <selection activeCell="AK18" sqref="AK18"/>
    </sheetView>
  </sheetViews>
  <sheetFormatPr baseColWidth="10" defaultColWidth="9.1640625" defaultRowHeight="15" x14ac:dyDescent="0.2"/>
  <cols>
    <col min="1" max="1" width="21.6640625" style="2" bestFit="1" customWidth="1"/>
    <col min="2" max="2" width="22.6640625" style="2" bestFit="1" customWidth="1"/>
    <col min="3" max="3" width="11.6640625" style="2" bestFit="1" customWidth="1"/>
    <col min="4" max="4" width="21.5" style="2" customWidth="1"/>
    <col min="5" max="5" width="19.1640625" style="22" customWidth="1"/>
    <col min="6" max="6" width="42.1640625" style="22" bestFit="1" customWidth="1"/>
    <col min="7" max="7" width="20.1640625" style="22" customWidth="1"/>
    <col min="8" max="8" width="19" style="2" bestFit="1" customWidth="1"/>
    <col min="9" max="9" width="27.1640625" style="2" customWidth="1"/>
    <col min="10" max="10" width="14.5" style="2" customWidth="1"/>
    <col min="11" max="11" width="28.6640625" style="2" bestFit="1" customWidth="1"/>
    <col min="12" max="12" width="28.83203125" style="2" bestFit="1" customWidth="1"/>
    <col min="13" max="13" width="23.6640625" style="2" customWidth="1"/>
    <col min="14" max="14" width="30.83203125" style="2" customWidth="1"/>
    <col min="15" max="15" width="17.6640625" style="2" customWidth="1"/>
    <col min="16" max="16" width="18.33203125" style="2" customWidth="1"/>
    <col min="17" max="18" width="14.5" style="2" customWidth="1"/>
    <col min="19" max="19" width="17.83203125" style="2" customWidth="1"/>
    <col min="20" max="21" width="9.1640625" style="2"/>
    <col min="22" max="22" width="32.1640625" style="2" bestFit="1" customWidth="1"/>
    <col min="23" max="23" width="17.5" style="2" bestFit="1" customWidth="1"/>
    <col min="24" max="24" width="11.83203125" style="2" bestFit="1" customWidth="1"/>
    <col min="25" max="25" width="14" style="2" bestFit="1" customWidth="1"/>
    <col min="26" max="26" width="11.6640625" style="2" bestFit="1" customWidth="1"/>
    <col min="27" max="27" width="12" style="2" customWidth="1"/>
    <col min="28" max="28" width="9.1640625" style="2" bestFit="1" customWidth="1"/>
    <col min="29" max="29" width="12.6640625" style="2" customWidth="1"/>
    <col min="30" max="31" width="19.5" style="2" bestFit="1" customWidth="1"/>
    <col min="32" max="32" width="12.33203125" style="2" customWidth="1"/>
    <col min="33" max="33" width="16.1640625" style="2" customWidth="1"/>
    <col min="34" max="34" width="11.83203125" style="2" bestFit="1" customWidth="1"/>
    <col min="35" max="35" width="18.1640625" style="2" bestFit="1" customWidth="1"/>
    <col min="36" max="36" width="11.83203125" style="2" bestFit="1" customWidth="1"/>
    <col min="37" max="37" width="13.83203125" style="2" customWidth="1"/>
    <col min="38" max="38" width="14" style="2" bestFit="1" customWidth="1"/>
    <col min="39" max="39" width="16.83203125" style="2" customWidth="1"/>
    <col min="40" max="40" width="15.5" style="2" customWidth="1"/>
    <col min="41" max="41" width="16.5" style="2" customWidth="1"/>
    <col min="42" max="42" width="15.83203125" style="2" bestFit="1" customWidth="1"/>
    <col min="43" max="43" width="13" style="2" bestFit="1" customWidth="1"/>
    <col min="44" max="16384" width="9.1640625" style="2"/>
  </cols>
  <sheetData>
    <row r="1" spans="2:43" ht="16" thickBot="1" x14ac:dyDescent="0.25"/>
    <row r="2" spans="2:43" ht="26" x14ac:dyDescent="0.3">
      <c r="B2" s="254" t="s">
        <v>45</v>
      </c>
      <c r="C2" s="255"/>
      <c r="D2" s="255"/>
      <c r="E2" s="255"/>
      <c r="F2" s="255"/>
      <c r="G2" s="255"/>
      <c r="H2" s="255"/>
      <c r="I2" s="255"/>
      <c r="J2" s="255"/>
      <c r="K2" s="255"/>
      <c r="L2" s="255"/>
      <c r="M2" s="255"/>
      <c r="N2" s="255"/>
      <c r="O2" s="255"/>
      <c r="P2" s="255"/>
      <c r="Q2" s="255"/>
      <c r="R2" s="255"/>
      <c r="S2" s="256"/>
      <c r="Z2" s="2" t="s">
        <v>46</v>
      </c>
      <c r="AA2" s="2" t="s">
        <v>47</v>
      </c>
      <c r="AB2" s="2" t="s">
        <v>47</v>
      </c>
      <c r="AC2" s="2" t="s">
        <v>7</v>
      </c>
    </row>
    <row r="3" spans="2:43" ht="22" customHeight="1" x14ac:dyDescent="0.2">
      <c r="B3" s="53" t="s">
        <v>48</v>
      </c>
      <c r="C3" s="54" t="s">
        <v>49</v>
      </c>
      <c r="D3" s="54" t="s">
        <v>50</v>
      </c>
      <c r="E3" s="55" t="s">
        <v>51</v>
      </c>
      <c r="F3" s="56" t="s">
        <v>52</v>
      </c>
      <c r="G3" s="56" t="s">
        <v>53</v>
      </c>
      <c r="H3" s="55" t="s">
        <v>54</v>
      </c>
      <c r="I3" s="56" t="s">
        <v>55</v>
      </c>
      <c r="J3" s="56" t="s">
        <v>56</v>
      </c>
      <c r="K3" s="55" t="s">
        <v>57</v>
      </c>
      <c r="L3" s="56" t="s">
        <v>58</v>
      </c>
      <c r="M3" s="56" t="s">
        <v>59</v>
      </c>
      <c r="N3" s="55" t="s">
        <v>60</v>
      </c>
      <c r="O3" s="56" t="s">
        <v>61</v>
      </c>
      <c r="P3" s="56" t="s">
        <v>62</v>
      </c>
      <c r="Q3" s="55" t="s">
        <v>51</v>
      </c>
      <c r="R3" s="56" t="s">
        <v>52</v>
      </c>
      <c r="S3" s="56" t="s">
        <v>53</v>
      </c>
      <c r="W3" t="s">
        <v>0</v>
      </c>
      <c r="X3"/>
      <c r="Y3" s="177" t="s">
        <v>1</v>
      </c>
      <c r="Z3" s="68" t="s">
        <v>2</v>
      </c>
      <c r="AA3" s="68" t="s">
        <v>3</v>
      </c>
      <c r="AB3" s="68" t="s">
        <v>4</v>
      </c>
      <c r="AC3" s="69" t="s">
        <v>5</v>
      </c>
      <c r="AG3" s="67" t="s">
        <v>10</v>
      </c>
      <c r="AH3" s="185" t="s">
        <v>1</v>
      </c>
      <c r="AI3" s="68" t="s">
        <v>2</v>
      </c>
      <c r="AJ3" s="68" t="s">
        <v>3</v>
      </c>
      <c r="AK3" s="68" t="s">
        <v>4</v>
      </c>
      <c r="AL3" s="69" t="s">
        <v>5</v>
      </c>
    </row>
    <row r="4" spans="2:43" ht="22" customHeight="1" x14ac:dyDescent="0.2">
      <c r="B4" s="52" t="s">
        <v>1</v>
      </c>
      <c r="C4" s="51">
        <v>10</v>
      </c>
      <c r="D4" s="51" t="s">
        <v>63</v>
      </c>
      <c r="E4" s="257" t="s">
        <v>64</v>
      </c>
      <c r="F4" s="57" t="s">
        <v>65</v>
      </c>
      <c r="G4" s="269" t="s">
        <v>66</v>
      </c>
      <c r="H4" s="270"/>
      <c r="I4" s="270"/>
      <c r="J4" s="270"/>
      <c r="K4" s="270"/>
      <c r="L4" s="270"/>
      <c r="M4" s="270"/>
      <c r="N4" s="271"/>
      <c r="O4" s="259" t="s">
        <v>67</v>
      </c>
      <c r="P4" s="262" t="s">
        <v>68</v>
      </c>
      <c r="Q4" s="58"/>
      <c r="R4" s="259" t="s">
        <v>67</v>
      </c>
      <c r="S4" s="264" t="s">
        <v>69</v>
      </c>
      <c r="W4" s="80" t="s">
        <v>15</v>
      </c>
      <c r="X4" s="81" t="s">
        <v>16</v>
      </c>
      <c r="Y4" s="178">
        <v>254</v>
      </c>
      <c r="Z4" s="172">
        <v>152</v>
      </c>
      <c r="AA4" s="172">
        <v>145</v>
      </c>
      <c r="AB4" s="172">
        <v>256</v>
      </c>
      <c r="AC4" s="172">
        <v>216</v>
      </c>
      <c r="AF4" s="2" t="s">
        <v>16</v>
      </c>
      <c r="AG4" s="93" t="s">
        <v>15</v>
      </c>
      <c r="AH4" s="186">
        <v>82050</v>
      </c>
      <c r="AI4" s="94">
        <v>39000</v>
      </c>
      <c r="AJ4" s="94">
        <v>3050</v>
      </c>
      <c r="AK4" s="94">
        <v>87600</v>
      </c>
      <c r="AL4" s="95">
        <v>7500</v>
      </c>
      <c r="AM4" s="2" t="s">
        <v>16</v>
      </c>
      <c r="AN4" s="2" t="s">
        <v>3</v>
      </c>
      <c r="AO4" s="184">
        <f>AJ4*200</f>
        <v>610000</v>
      </c>
      <c r="AP4" s="180">
        <f>AO4*0.03</f>
        <v>18300</v>
      </c>
      <c r="AQ4" s="180">
        <f>AO4+AP4</f>
        <v>628300</v>
      </c>
    </row>
    <row r="5" spans="2:43" ht="22" customHeight="1" x14ac:dyDescent="0.2">
      <c r="B5" s="52" t="s">
        <v>2</v>
      </c>
      <c r="C5" s="51">
        <v>7</v>
      </c>
      <c r="D5" s="51" t="s">
        <v>70</v>
      </c>
      <c r="E5" s="257"/>
      <c r="F5" s="266" t="s">
        <v>71</v>
      </c>
      <c r="G5" s="267"/>
      <c r="H5" s="268"/>
      <c r="I5" s="57" t="s">
        <v>65</v>
      </c>
      <c r="J5" s="269" t="s">
        <v>72</v>
      </c>
      <c r="K5" s="270"/>
      <c r="L5" s="270"/>
      <c r="M5" s="270"/>
      <c r="N5" s="271"/>
      <c r="O5" s="260"/>
      <c r="P5" s="262"/>
      <c r="Q5" s="58"/>
      <c r="R5" s="260"/>
      <c r="S5" s="264"/>
      <c r="T5" s="2" t="s">
        <v>46</v>
      </c>
      <c r="U5" s="2" t="s">
        <v>2</v>
      </c>
      <c r="W5" s="203" t="s">
        <v>8</v>
      </c>
      <c r="X5" s="204" t="s">
        <v>9</v>
      </c>
      <c r="Y5" s="178">
        <v>242</v>
      </c>
      <c r="Z5" s="172">
        <v>142</v>
      </c>
      <c r="AA5" s="174"/>
      <c r="AB5" s="201">
        <v>232</v>
      </c>
      <c r="AC5" s="172">
        <v>167</v>
      </c>
      <c r="AD5" s="2" t="s">
        <v>73</v>
      </c>
      <c r="AF5" s="228" t="s">
        <v>9</v>
      </c>
      <c r="AG5" s="225" t="s">
        <v>8</v>
      </c>
      <c r="AH5" s="226">
        <v>80500</v>
      </c>
      <c r="AI5" s="226">
        <v>31000</v>
      </c>
      <c r="AJ5" s="226">
        <v>0</v>
      </c>
      <c r="AK5" s="226">
        <v>87050</v>
      </c>
      <c r="AL5" s="227">
        <v>8600</v>
      </c>
    </row>
    <row r="6" spans="2:43" ht="22" customHeight="1" x14ac:dyDescent="0.2">
      <c r="B6" s="52" t="s">
        <v>3</v>
      </c>
      <c r="C6" s="51">
        <v>8</v>
      </c>
      <c r="D6" s="51" t="s">
        <v>74</v>
      </c>
      <c r="E6" s="257"/>
      <c r="F6" s="57" t="s">
        <v>65</v>
      </c>
      <c r="G6" s="269" t="s">
        <v>66</v>
      </c>
      <c r="H6" s="270"/>
      <c r="I6" s="270"/>
      <c r="J6" s="270"/>
      <c r="K6" s="270"/>
      <c r="L6" s="270"/>
      <c r="M6" s="270"/>
      <c r="N6" s="271"/>
      <c r="O6" s="260"/>
      <c r="P6" s="262"/>
      <c r="Q6" s="58"/>
      <c r="R6" s="260"/>
      <c r="S6" s="264"/>
      <c r="T6" s="2" t="s">
        <v>47</v>
      </c>
      <c r="U6" s="2" t="s">
        <v>3</v>
      </c>
      <c r="W6" s="73" t="s">
        <v>19</v>
      </c>
      <c r="X6" s="74" t="s">
        <v>20</v>
      </c>
      <c r="Y6" s="178">
        <v>236</v>
      </c>
      <c r="Z6" s="175">
        <v>143</v>
      </c>
      <c r="AA6" s="176"/>
      <c r="AB6" s="175">
        <v>238</v>
      </c>
      <c r="AC6" s="175">
        <v>194</v>
      </c>
      <c r="AF6" s="2" t="s">
        <v>20</v>
      </c>
      <c r="AG6" s="86" t="s">
        <v>19</v>
      </c>
      <c r="AH6" s="186">
        <v>88560</v>
      </c>
      <c r="AI6" s="87">
        <v>38420</v>
      </c>
      <c r="AJ6" s="36">
        <v>0</v>
      </c>
      <c r="AK6" s="87">
        <v>83450</v>
      </c>
      <c r="AL6" s="88">
        <v>8880</v>
      </c>
    </row>
    <row r="7" spans="2:43" ht="22" customHeight="1" x14ac:dyDescent="0.2">
      <c r="B7" s="52" t="s">
        <v>4</v>
      </c>
      <c r="C7" s="51">
        <v>10</v>
      </c>
      <c r="D7" s="51" t="s">
        <v>63</v>
      </c>
      <c r="E7" s="257"/>
      <c r="F7" s="57" t="s">
        <v>65</v>
      </c>
      <c r="G7" s="269" t="s">
        <v>66</v>
      </c>
      <c r="H7" s="270"/>
      <c r="I7" s="270"/>
      <c r="J7" s="270"/>
      <c r="K7" s="270"/>
      <c r="L7" s="270"/>
      <c r="M7" s="270"/>
      <c r="N7" s="271"/>
      <c r="O7" s="260"/>
      <c r="P7" s="262"/>
      <c r="Q7" s="58"/>
      <c r="R7" s="260"/>
      <c r="S7" s="264"/>
      <c r="T7" s="2" t="s">
        <v>47</v>
      </c>
      <c r="U7" s="2" t="s">
        <v>33</v>
      </c>
      <c r="W7" s="73" t="s">
        <v>21</v>
      </c>
      <c r="X7" s="74" t="s">
        <v>22</v>
      </c>
      <c r="Y7" s="178">
        <v>278</v>
      </c>
      <c r="Z7" s="175">
        <v>126</v>
      </c>
      <c r="AA7" s="175">
        <v>118</v>
      </c>
      <c r="AB7" s="175">
        <v>223</v>
      </c>
      <c r="AC7" s="175">
        <v>180</v>
      </c>
      <c r="AF7" s="2" t="s">
        <v>22</v>
      </c>
      <c r="AG7" s="86" t="s">
        <v>21</v>
      </c>
      <c r="AH7" s="186">
        <v>88000</v>
      </c>
      <c r="AI7" s="87">
        <v>33600</v>
      </c>
      <c r="AJ7" s="87">
        <v>4000</v>
      </c>
      <c r="AK7" s="87">
        <v>85000</v>
      </c>
      <c r="AL7" s="88">
        <v>9000</v>
      </c>
    </row>
    <row r="8" spans="2:43" ht="22" customHeight="1" x14ac:dyDescent="0.2">
      <c r="B8" s="59" t="s">
        <v>5</v>
      </c>
      <c r="C8" s="60">
        <v>5</v>
      </c>
      <c r="D8" s="60" t="s">
        <v>70</v>
      </c>
      <c r="E8" s="258"/>
      <c r="F8" s="274" t="s">
        <v>71</v>
      </c>
      <c r="G8" s="275"/>
      <c r="H8" s="276"/>
      <c r="I8" s="57" t="s">
        <v>65</v>
      </c>
      <c r="J8" s="269" t="s">
        <v>72</v>
      </c>
      <c r="K8" s="270"/>
      <c r="L8" s="270"/>
      <c r="M8" s="270"/>
      <c r="N8" s="271"/>
      <c r="O8" s="261"/>
      <c r="P8" s="263"/>
      <c r="Q8" s="61"/>
      <c r="R8" s="261"/>
      <c r="S8" s="265"/>
      <c r="T8" s="2" t="s">
        <v>7</v>
      </c>
      <c r="U8" s="2" t="s">
        <v>5</v>
      </c>
      <c r="W8" s="203" t="s">
        <v>13</v>
      </c>
      <c r="X8" s="204" t="s">
        <v>14</v>
      </c>
      <c r="Y8" s="178"/>
      <c r="Z8" s="201">
        <v>149</v>
      </c>
      <c r="AA8" s="201">
        <v>138</v>
      </c>
      <c r="AB8" s="176"/>
      <c r="AC8" s="90">
        <v>181</v>
      </c>
      <c r="AD8" s="202" t="s">
        <v>75</v>
      </c>
      <c r="AF8" s="2" t="s">
        <v>14</v>
      </c>
      <c r="AG8" s="86" t="s">
        <v>13</v>
      </c>
      <c r="AH8" s="186">
        <v>0</v>
      </c>
      <c r="AI8" s="87">
        <v>41000</v>
      </c>
      <c r="AJ8" s="87">
        <v>3900</v>
      </c>
      <c r="AK8" s="36">
        <v>0</v>
      </c>
      <c r="AL8" s="88">
        <v>8980</v>
      </c>
    </row>
    <row r="9" spans="2:43" x14ac:dyDescent="0.2">
      <c r="E9" s="22">
        <v>31</v>
      </c>
      <c r="F9" s="120">
        <v>30</v>
      </c>
      <c r="G9" s="120">
        <v>31</v>
      </c>
      <c r="H9" s="121">
        <v>31</v>
      </c>
      <c r="I9" s="121">
        <v>28</v>
      </c>
      <c r="J9" s="121">
        <v>31</v>
      </c>
      <c r="K9" s="121">
        <v>30</v>
      </c>
      <c r="L9" s="121">
        <v>31</v>
      </c>
      <c r="M9" s="121">
        <v>30</v>
      </c>
      <c r="N9" s="120">
        <v>31</v>
      </c>
      <c r="O9" s="120">
        <v>31</v>
      </c>
      <c r="P9" s="120">
        <v>30</v>
      </c>
      <c r="Q9" s="120">
        <v>31</v>
      </c>
      <c r="R9" s="120">
        <v>30</v>
      </c>
      <c r="S9" s="120">
        <v>31</v>
      </c>
      <c r="W9" s="80" t="s">
        <v>23</v>
      </c>
      <c r="X9" s="81" t="s">
        <v>24</v>
      </c>
      <c r="Y9" s="178"/>
      <c r="Z9" s="172">
        <v>138</v>
      </c>
      <c r="AA9" s="172">
        <v>137</v>
      </c>
      <c r="AB9" s="176"/>
      <c r="AC9" s="97">
        <v>190</v>
      </c>
      <c r="AF9" s="228" t="s">
        <v>24</v>
      </c>
      <c r="AG9" s="225" t="s">
        <v>23</v>
      </c>
      <c r="AH9" s="226">
        <v>0</v>
      </c>
      <c r="AI9" s="226">
        <v>32500</v>
      </c>
      <c r="AJ9" s="226">
        <v>3500</v>
      </c>
      <c r="AK9" s="226">
        <v>0</v>
      </c>
      <c r="AL9" s="227">
        <v>8325</v>
      </c>
    </row>
    <row r="10" spans="2:43" x14ac:dyDescent="0.2">
      <c r="W10" s="203" t="s">
        <v>17</v>
      </c>
      <c r="X10" s="204" t="s">
        <v>18</v>
      </c>
      <c r="Y10" s="178">
        <v>244</v>
      </c>
      <c r="Z10" s="172">
        <v>124</v>
      </c>
      <c r="AA10" s="172">
        <v>112</v>
      </c>
      <c r="AB10" s="172">
        <v>212</v>
      </c>
      <c r="AC10" s="201">
        <v>156</v>
      </c>
      <c r="AD10" s="202" t="s">
        <v>73</v>
      </c>
      <c r="AF10" s="228" t="s">
        <v>18</v>
      </c>
      <c r="AG10" s="225" t="s">
        <v>17</v>
      </c>
      <c r="AH10" s="226">
        <v>92200</v>
      </c>
      <c r="AI10" s="226">
        <v>36800</v>
      </c>
      <c r="AJ10" s="226">
        <v>3650</v>
      </c>
      <c r="AK10" s="226">
        <v>86000</v>
      </c>
      <c r="AL10" s="227">
        <v>10100</v>
      </c>
    </row>
    <row r="11" spans="2:43" ht="26" x14ac:dyDescent="0.3">
      <c r="B11" s="254" t="s">
        <v>45</v>
      </c>
      <c r="C11" s="255"/>
      <c r="D11" s="255"/>
      <c r="E11" s="255"/>
      <c r="F11" s="255"/>
      <c r="G11" s="255"/>
      <c r="H11" s="255"/>
      <c r="I11" s="255"/>
      <c r="J11" s="255"/>
      <c r="K11" s="255"/>
      <c r="L11" s="255"/>
      <c r="M11" s="255"/>
      <c r="N11" s="255"/>
      <c r="O11" s="255"/>
      <c r="P11" s="255"/>
      <c r="Q11" s="255"/>
      <c r="R11" s="255"/>
      <c r="S11" s="256"/>
      <c r="W11" s="73" t="s">
        <v>25</v>
      </c>
      <c r="X11" s="74" t="s">
        <v>26</v>
      </c>
      <c r="Y11" s="178">
        <v>259</v>
      </c>
      <c r="Z11" s="175">
        <v>152</v>
      </c>
      <c r="AA11" s="175">
        <v>144</v>
      </c>
      <c r="AB11" s="175">
        <v>253</v>
      </c>
      <c r="AC11" s="175">
        <v>186</v>
      </c>
      <c r="AF11" s="2" t="s">
        <v>26</v>
      </c>
      <c r="AG11" s="86" t="s">
        <v>25</v>
      </c>
      <c r="AH11" s="186">
        <v>74300</v>
      </c>
      <c r="AI11" s="87">
        <v>28325</v>
      </c>
      <c r="AJ11" s="87">
        <v>2150</v>
      </c>
      <c r="AK11" s="87">
        <v>81200</v>
      </c>
      <c r="AL11" s="88">
        <v>8200</v>
      </c>
    </row>
    <row r="12" spans="2:43" ht="16" x14ac:dyDescent="0.2">
      <c r="B12" s="53" t="s">
        <v>48</v>
      </c>
      <c r="C12" s="54" t="s">
        <v>49</v>
      </c>
      <c r="D12" s="54" t="s">
        <v>50</v>
      </c>
      <c r="E12" s="55" t="s">
        <v>51</v>
      </c>
      <c r="F12" s="56" t="s">
        <v>52</v>
      </c>
      <c r="G12" s="56" t="s">
        <v>53</v>
      </c>
      <c r="H12" s="55" t="s">
        <v>54</v>
      </c>
      <c r="I12" s="56" t="s">
        <v>55</v>
      </c>
      <c r="J12" s="56" t="s">
        <v>56</v>
      </c>
      <c r="K12" s="55" t="s">
        <v>57</v>
      </c>
      <c r="L12" s="56" t="s">
        <v>58</v>
      </c>
      <c r="M12" s="56" t="s">
        <v>59</v>
      </c>
      <c r="N12" s="55" t="s">
        <v>60</v>
      </c>
      <c r="O12" s="56" t="s">
        <v>61</v>
      </c>
      <c r="P12" s="56" t="s">
        <v>62</v>
      </c>
      <c r="Q12" s="55" t="s">
        <v>51</v>
      </c>
      <c r="R12" s="56" t="s">
        <v>52</v>
      </c>
      <c r="S12" s="56" t="s">
        <v>53</v>
      </c>
      <c r="W12" s="80" t="s">
        <v>27</v>
      </c>
      <c r="X12" s="81" t="s">
        <v>28</v>
      </c>
      <c r="Y12" s="178"/>
      <c r="Z12" s="172">
        <v>154</v>
      </c>
      <c r="AA12" s="172">
        <v>141</v>
      </c>
      <c r="AB12" s="173"/>
      <c r="AC12" s="172">
        <v>181</v>
      </c>
      <c r="AF12" s="2" t="s">
        <v>28</v>
      </c>
      <c r="AG12" s="93" t="s">
        <v>27</v>
      </c>
      <c r="AH12" s="186">
        <v>0</v>
      </c>
      <c r="AI12" s="94">
        <v>34450</v>
      </c>
      <c r="AJ12" s="94">
        <v>3940</v>
      </c>
      <c r="AK12" s="36">
        <v>0</v>
      </c>
      <c r="AL12" s="95">
        <v>8700</v>
      </c>
    </row>
    <row r="13" spans="2:43" ht="16" x14ac:dyDescent="0.2">
      <c r="B13" s="52" t="s">
        <v>1</v>
      </c>
      <c r="C13" s="51">
        <v>10</v>
      </c>
      <c r="D13" s="51" t="s">
        <v>63</v>
      </c>
      <c r="E13" s="257" t="s">
        <v>64</v>
      </c>
      <c r="F13" s="57" t="s">
        <v>76</v>
      </c>
      <c r="G13" s="70"/>
      <c r="H13" s="71" t="s">
        <v>77</v>
      </c>
      <c r="I13" s="71"/>
      <c r="J13" s="71"/>
      <c r="K13" s="71" t="s">
        <v>78</v>
      </c>
      <c r="L13" s="71"/>
      <c r="M13" s="71"/>
      <c r="N13" s="72"/>
      <c r="O13" s="259" t="s">
        <v>67</v>
      </c>
      <c r="P13" s="262" t="s">
        <v>68</v>
      </c>
      <c r="Q13" s="58"/>
      <c r="R13" s="259" t="s">
        <v>67</v>
      </c>
      <c r="S13" s="264" t="s">
        <v>69</v>
      </c>
      <c r="W13" s="80" t="s">
        <v>29</v>
      </c>
      <c r="X13" s="81" t="s">
        <v>30</v>
      </c>
      <c r="Y13" s="178"/>
      <c r="Z13" s="172">
        <v>155</v>
      </c>
      <c r="AA13" s="172">
        <v>153</v>
      </c>
      <c r="AB13" s="173"/>
      <c r="AC13" s="172">
        <v>213</v>
      </c>
      <c r="AF13" s="2" t="s">
        <v>30</v>
      </c>
      <c r="AG13" s="93" t="s">
        <v>29</v>
      </c>
      <c r="AH13" s="186">
        <v>0</v>
      </c>
      <c r="AI13" s="94">
        <v>25000</v>
      </c>
      <c r="AJ13" s="94">
        <v>1800</v>
      </c>
      <c r="AK13" s="36">
        <v>0</v>
      </c>
      <c r="AL13" s="95">
        <v>7350</v>
      </c>
    </row>
    <row r="14" spans="2:43" x14ac:dyDescent="0.2">
      <c r="B14" s="52"/>
      <c r="C14" s="51"/>
      <c r="D14" s="51"/>
      <c r="E14" s="257"/>
      <c r="F14" s="266"/>
      <c r="G14" s="267"/>
      <c r="H14" s="268"/>
      <c r="I14" s="57"/>
      <c r="J14" s="269"/>
      <c r="K14" s="270"/>
      <c r="L14" s="270"/>
      <c r="M14" s="270"/>
      <c r="N14" s="271"/>
      <c r="O14" s="260"/>
      <c r="P14" s="262"/>
      <c r="Q14" s="58"/>
      <c r="R14" s="260"/>
      <c r="S14" s="264"/>
      <c r="W14" s="77" t="s">
        <v>31</v>
      </c>
      <c r="X14" s="78" t="s">
        <v>18</v>
      </c>
      <c r="Y14" s="179">
        <v>214</v>
      </c>
      <c r="Z14" s="92">
        <v>114</v>
      </c>
      <c r="AA14" s="171"/>
      <c r="AB14" s="92">
        <v>212</v>
      </c>
      <c r="AC14" s="171"/>
      <c r="AF14" s="2" t="s">
        <v>79</v>
      </c>
      <c r="AG14" s="86" t="s">
        <v>31</v>
      </c>
      <c r="AH14" s="186">
        <v>95450</v>
      </c>
      <c r="AI14" s="87">
        <v>37400</v>
      </c>
      <c r="AJ14" s="36">
        <v>0</v>
      </c>
      <c r="AK14" s="87">
        <v>86900</v>
      </c>
      <c r="AL14" s="37">
        <v>0</v>
      </c>
    </row>
    <row r="15" spans="2:43" x14ac:dyDescent="0.2">
      <c r="B15" s="52"/>
      <c r="C15" s="51"/>
      <c r="D15" s="51"/>
      <c r="E15" s="257"/>
      <c r="F15" s="57"/>
      <c r="G15" s="70"/>
      <c r="H15" s="71"/>
      <c r="I15" s="71"/>
      <c r="J15" s="71"/>
      <c r="K15" s="71"/>
      <c r="L15" s="71"/>
      <c r="M15" s="71"/>
      <c r="N15" s="72"/>
      <c r="O15" s="260"/>
      <c r="P15" s="262"/>
      <c r="Q15" s="58"/>
      <c r="R15" s="260"/>
      <c r="S15" s="264"/>
      <c r="U15" s="2" t="s">
        <v>14</v>
      </c>
      <c r="V15" s="2" t="s">
        <v>2</v>
      </c>
    </row>
    <row r="16" spans="2:43" ht="16" x14ac:dyDescent="0.2">
      <c r="B16" s="52" t="s">
        <v>33</v>
      </c>
      <c r="C16" s="51">
        <v>10</v>
      </c>
      <c r="D16" s="51">
        <v>1</v>
      </c>
      <c r="E16" s="257"/>
      <c r="F16" s="57" t="s">
        <v>80</v>
      </c>
      <c r="G16" s="269" t="s">
        <v>66</v>
      </c>
      <c r="H16" s="270"/>
      <c r="I16" s="270"/>
      <c r="J16" s="270"/>
      <c r="K16" s="270"/>
      <c r="L16" s="270"/>
      <c r="M16" s="270"/>
      <c r="N16" s="147" t="s">
        <v>81</v>
      </c>
      <c r="O16" s="260"/>
      <c r="P16" s="262"/>
      <c r="Q16" s="58"/>
      <c r="R16" s="260"/>
      <c r="S16" s="264"/>
      <c r="V16" s="2" t="s">
        <v>3</v>
      </c>
    </row>
    <row r="17" spans="2:44" x14ac:dyDescent="0.2">
      <c r="B17" s="59"/>
      <c r="C17" s="60"/>
      <c r="D17" s="60"/>
      <c r="E17" s="258"/>
      <c r="F17" s="274"/>
      <c r="G17" s="275"/>
      <c r="H17" s="276"/>
      <c r="I17" s="57"/>
      <c r="J17" s="269"/>
      <c r="K17" s="270"/>
      <c r="L17" s="270"/>
      <c r="M17" s="270"/>
      <c r="N17" s="271"/>
      <c r="O17" s="261"/>
      <c r="P17" s="263"/>
      <c r="Q17" s="61"/>
      <c r="R17" s="261"/>
      <c r="S17" s="265"/>
      <c r="W17" s="2" t="s">
        <v>9</v>
      </c>
      <c r="X17" s="2" t="s">
        <v>82</v>
      </c>
      <c r="Z17" s="2" t="s">
        <v>83</v>
      </c>
      <c r="AA17" s="2" t="s">
        <v>33</v>
      </c>
      <c r="AF17" s="2" t="s">
        <v>2</v>
      </c>
      <c r="AI17" s="2" t="s">
        <v>84</v>
      </c>
      <c r="AK17" s="2" t="s">
        <v>85</v>
      </c>
    </row>
    <row r="18" spans="2:44" x14ac:dyDescent="0.2">
      <c r="B18" s="2" t="s">
        <v>86</v>
      </c>
      <c r="E18" s="22">
        <v>31</v>
      </c>
      <c r="F18" s="120">
        <v>30</v>
      </c>
      <c r="G18" s="120">
        <v>31</v>
      </c>
      <c r="H18" s="121">
        <v>31</v>
      </c>
      <c r="I18" s="121">
        <v>28</v>
      </c>
      <c r="J18" s="121">
        <v>31</v>
      </c>
      <c r="K18" s="121">
        <v>30</v>
      </c>
      <c r="L18" s="121">
        <v>31</v>
      </c>
      <c r="M18" s="121">
        <v>30</v>
      </c>
      <c r="N18" s="120">
        <v>31</v>
      </c>
      <c r="O18" s="120">
        <v>31</v>
      </c>
      <c r="P18" s="120">
        <v>30</v>
      </c>
      <c r="Q18" s="120">
        <v>31</v>
      </c>
      <c r="R18" s="120">
        <v>30</v>
      </c>
      <c r="S18" s="120">
        <v>31</v>
      </c>
      <c r="U18" s="2" t="s">
        <v>9</v>
      </c>
      <c r="V18" s="2" t="s">
        <v>33</v>
      </c>
      <c r="W18" s="2" t="s">
        <v>87</v>
      </c>
      <c r="Z18" s="2" t="s">
        <v>88</v>
      </c>
      <c r="AA18" s="2" t="s">
        <v>89</v>
      </c>
      <c r="AF18" s="2" t="s">
        <v>3</v>
      </c>
    </row>
    <row r="19" spans="2:44" x14ac:dyDescent="0.2">
      <c r="AF19" s="2" t="s">
        <v>33</v>
      </c>
    </row>
    <row r="20" spans="2:44" x14ac:dyDescent="0.2">
      <c r="B20" s="2" t="s">
        <v>90</v>
      </c>
      <c r="E20" s="22">
        <f>J22-E18</f>
        <v>426</v>
      </c>
      <c r="F20" s="22">
        <f>E20-F18</f>
        <v>396</v>
      </c>
      <c r="G20" s="22">
        <f>F20-G18</f>
        <v>365</v>
      </c>
      <c r="H20" s="2">
        <f>G20-H18</f>
        <v>334</v>
      </c>
      <c r="U20" s="2" t="s">
        <v>18</v>
      </c>
      <c r="V20" s="2" t="s">
        <v>5</v>
      </c>
      <c r="AF20" s="181" t="s">
        <v>5</v>
      </c>
    </row>
    <row r="21" spans="2:44" x14ac:dyDescent="0.2">
      <c r="B21" s="2" t="s">
        <v>91</v>
      </c>
      <c r="C21" s="2">
        <v>70</v>
      </c>
      <c r="F21" s="22">
        <f>C21-F18</f>
        <v>40</v>
      </c>
      <c r="G21" s="22">
        <f>F21-G18</f>
        <v>9</v>
      </c>
      <c r="H21" s="22">
        <f>G20-G21</f>
        <v>356</v>
      </c>
      <c r="I21" s="2">
        <f>H21-I18</f>
        <v>328</v>
      </c>
      <c r="J21" s="2">
        <f>I21-J18</f>
        <v>297</v>
      </c>
      <c r="K21" s="2">
        <f>J21-J29</f>
        <v>297</v>
      </c>
    </row>
    <row r="22" spans="2:44" x14ac:dyDescent="0.2">
      <c r="I22" s="2" t="s">
        <v>92</v>
      </c>
      <c r="J22" s="2">
        <f>SUM(E18:S18)</f>
        <v>457</v>
      </c>
    </row>
    <row r="24" spans="2:44" x14ac:dyDescent="0.2">
      <c r="W24" s="2" t="s">
        <v>2</v>
      </c>
      <c r="X24" s="2" t="s">
        <v>3</v>
      </c>
      <c r="Y24" s="2" t="s">
        <v>33</v>
      </c>
      <c r="Z24" s="2" t="s">
        <v>5</v>
      </c>
      <c r="AA24" s="2" t="s">
        <v>93</v>
      </c>
      <c r="AB24" s="2" t="s">
        <v>94</v>
      </c>
      <c r="AJ24" s="2" t="s">
        <v>95</v>
      </c>
      <c r="AK24" s="2" t="s">
        <v>3</v>
      </c>
      <c r="AL24" s="22" t="s">
        <v>33</v>
      </c>
      <c r="AM24" s="22" t="s">
        <v>34</v>
      </c>
      <c r="AN24" s="2" t="s">
        <v>93</v>
      </c>
      <c r="AO24" s="2" t="s">
        <v>94</v>
      </c>
      <c r="AP24" s="2" t="s">
        <v>96</v>
      </c>
    </row>
    <row r="25" spans="2:44" x14ac:dyDescent="0.2">
      <c r="V25" s="190"/>
      <c r="AI25" s="2" t="s">
        <v>97</v>
      </c>
      <c r="AJ25" s="108">
        <v>2600000</v>
      </c>
      <c r="AK25" s="108">
        <v>2125000</v>
      </c>
      <c r="AL25" s="108"/>
      <c r="AM25" s="108">
        <v>2116500</v>
      </c>
      <c r="AN25" s="184">
        <f>AJ25+AK25+AL25+AM25</f>
        <v>6841500</v>
      </c>
      <c r="AO25" s="180">
        <f>AN25*0.18</f>
        <v>1231470</v>
      </c>
      <c r="AP25" s="180">
        <f>AN25-AO25</f>
        <v>5610030</v>
      </c>
    </row>
    <row r="26" spans="2:44" x14ac:dyDescent="0.2">
      <c r="V26" s="190" t="s">
        <v>9</v>
      </c>
      <c r="W26" s="184">
        <f>AI4*W39</f>
        <v>3120000</v>
      </c>
      <c r="X26" s="191"/>
      <c r="Y26" s="184">
        <f>AK5*W41</f>
        <v>3482000</v>
      </c>
      <c r="Z26" s="184">
        <f>AL5*W42</f>
        <v>688000</v>
      </c>
      <c r="AA26" s="109">
        <f>W26+Y26+Z26</f>
        <v>7290000</v>
      </c>
      <c r="AI26" s="2" t="s">
        <v>9</v>
      </c>
      <c r="AJ26" s="183">
        <v>2480000</v>
      </c>
      <c r="AL26" s="183">
        <v>3482000</v>
      </c>
      <c r="AN26" s="183">
        <f>AJ26+AL26</f>
        <v>5962000</v>
      </c>
    </row>
    <row r="27" spans="2:44" x14ac:dyDescent="0.2">
      <c r="E27" s="122"/>
      <c r="V27" s="190" t="s">
        <v>24</v>
      </c>
      <c r="W27" s="184">
        <f>AI9*W39</f>
        <v>2600000</v>
      </c>
      <c r="X27" s="184">
        <f>AJ9*W40</f>
        <v>700000</v>
      </c>
      <c r="Y27" s="191"/>
      <c r="Z27" s="184">
        <f>AL9*W42</f>
        <v>666000</v>
      </c>
      <c r="AA27" s="109">
        <f>W27+X27+Z27</f>
        <v>3966000</v>
      </c>
      <c r="AI27" s="2" t="s">
        <v>28</v>
      </c>
      <c r="AK27" s="183">
        <v>788000</v>
      </c>
    </row>
    <row r="28" spans="2:44" x14ac:dyDescent="0.2">
      <c r="U28" s="2" t="s">
        <v>17</v>
      </c>
      <c r="V28" s="190" t="s">
        <v>18</v>
      </c>
      <c r="W28" s="184">
        <f>AI10*W39</f>
        <v>2944000</v>
      </c>
      <c r="X28" s="184">
        <f>AJ10*W40</f>
        <v>730000</v>
      </c>
      <c r="Y28" s="184">
        <f>AK10*W41</f>
        <v>3440000</v>
      </c>
      <c r="Z28" s="184">
        <f>AL10*W42</f>
        <v>808000</v>
      </c>
      <c r="AA28" s="109">
        <f>W28+X28+Y28+Z28</f>
        <v>7922000</v>
      </c>
    </row>
    <row r="29" spans="2:44" x14ac:dyDescent="0.2">
      <c r="V29" s="190" t="s">
        <v>28</v>
      </c>
      <c r="W29" s="184">
        <f>AI12*W39</f>
        <v>2756000</v>
      </c>
      <c r="X29" s="184">
        <f>AJ12*W40</f>
        <v>788000</v>
      </c>
      <c r="Y29" s="191"/>
      <c r="Z29" s="184">
        <f>AL12*W42</f>
        <v>696000</v>
      </c>
      <c r="AA29" s="109">
        <f>W29+X29+Z29</f>
        <v>4240000</v>
      </c>
    </row>
    <row r="30" spans="2:44" x14ac:dyDescent="0.2">
      <c r="V30" s="190"/>
      <c r="Z30" s="2" t="s">
        <v>98</v>
      </c>
    </row>
    <row r="31" spans="2:44" x14ac:dyDescent="0.2">
      <c r="W31" s="2" t="s">
        <v>16</v>
      </c>
      <c r="X31" s="2" t="s">
        <v>3</v>
      </c>
      <c r="Y31" s="192">
        <v>610000</v>
      </c>
      <c r="Z31" s="192">
        <v>18300</v>
      </c>
      <c r="AA31" s="192">
        <v>628300</v>
      </c>
      <c r="AE31" s="2" t="s">
        <v>99</v>
      </c>
      <c r="AF31" s="2" t="s">
        <v>98</v>
      </c>
      <c r="AG31" s="2" t="s">
        <v>100</v>
      </c>
      <c r="AH31" s="2" t="s">
        <v>93</v>
      </c>
      <c r="AL31" s="2" t="s">
        <v>40</v>
      </c>
      <c r="AM31" s="2" t="s">
        <v>101</v>
      </c>
      <c r="AN31" s="2" t="s">
        <v>100</v>
      </c>
      <c r="AO31" s="2" t="s">
        <v>102</v>
      </c>
      <c r="AP31" s="2" t="s">
        <v>103</v>
      </c>
      <c r="AQ31" s="2" t="s">
        <v>104</v>
      </c>
      <c r="AR31" s="2" t="s">
        <v>105</v>
      </c>
    </row>
    <row r="32" spans="2:44" x14ac:dyDescent="0.2">
      <c r="AC32" s="2" t="s">
        <v>2</v>
      </c>
      <c r="AD32" s="81" t="s">
        <v>9</v>
      </c>
      <c r="AE32" s="94">
        <f>AE36*W39</f>
        <v>2480000</v>
      </c>
      <c r="AF32" s="180">
        <f>AE32*0.02</f>
        <v>49600</v>
      </c>
      <c r="AG32" s="180">
        <v>0</v>
      </c>
      <c r="AH32" s="184">
        <f>SUM(AE32:AG32)</f>
        <v>2529600</v>
      </c>
      <c r="AJ32" s="2" t="s">
        <v>95</v>
      </c>
      <c r="AK32" s="2" t="s">
        <v>106</v>
      </c>
      <c r="AL32" s="184">
        <f>AI8*W39</f>
        <v>3280000</v>
      </c>
      <c r="AM32" s="184">
        <f>AL32*Y51</f>
        <v>65600</v>
      </c>
      <c r="AN32" s="184">
        <f>Z40*AL32</f>
        <v>328000</v>
      </c>
      <c r="AO32" s="184">
        <f>AL32+AM32-AN32</f>
        <v>3017600</v>
      </c>
      <c r="AP32" s="183">
        <v>100000</v>
      </c>
      <c r="AQ32" s="184">
        <f>AP32+AO32</f>
        <v>3117600</v>
      </c>
      <c r="AR32" s="2">
        <v>1.08</v>
      </c>
    </row>
    <row r="33" spans="1:41" x14ac:dyDescent="0.2">
      <c r="AC33" s="2" t="s">
        <v>2</v>
      </c>
      <c r="AD33" s="2" t="s">
        <v>18</v>
      </c>
      <c r="AE33" s="184">
        <f>AE38*W39</f>
        <v>2944000</v>
      </c>
      <c r="AF33" s="184">
        <f>Y53*AE33</f>
        <v>58880</v>
      </c>
      <c r="AG33" s="184">
        <v>0</v>
      </c>
      <c r="AH33" s="184">
        <f>SUM(AE33:AG33)</f>
        <v>3002880</v>
      </c>
    </row>
    <row r="34" spans="1:41" ht="47" x14ac:dyDescent="0.55000000000000004">
      <c r="H34" s="161" t="s">
        <v>107</v>
      </c>
      <c r="K34" s="161" t="s">
        <v>108</v>
      </c>
      <c r="V34" s="2" t="s">
        <v>109</v>
      </c>
      <c r="AC34" s="2" t="s">
        <v>2</v>
      </c>
      <c r="AD34" s="2" t="s">
        <v>24</v>
      </c>
      <c r="AE34" s="184">
        <f>AE37*W39</f>
        <v>2600000</v>
      </c>
      <c r="AF34" s="184">
        <f>AE34*Y51</f>
        <v>52000</v>
      </c>
      <c r="AG34" s="2">
        <v>0</v>
      </c>
      <c r="AH34" s="184">
        <f>AE34+AF34</f>
        <v>2652000</v>
      </c>
      <c r="AJ34" s="2" t="s">
        <v>33</v>
      </c>
      <c r="AK34" s="2" t="s">
        <v>9</v>
      </c>
      <c r="AL34" s="184">
        <f>AK5*W41</f>
        <v>3482000</v>
      </c>
      <c r="AM34" s="184">
        <f>Y51*AL34</f>
        <v>69640</v>
      </c>
      <c r="AN34" s="184">
        <f>AL34*Z40</f>
        <v>348200</v>
      </c>
      <c r="AO34" s="184">
        <f>AL34+AM34-AN34</f>
        <v>3203440</v>
      </c>
    </row>
    <row r="35" spans="1:41" ht="26" x14ac:dyDescent="0.3">
      <c r="A35" s="254" t="s">
        <v>45</v>
      </c>
      <c r="B35" s="255"/>
      <c r="C35" s="255"/>
      <c r="D35" s="255"/>
      <c r="E35" s="255"/>
      <c r="F35" s="255"/>
      <c r="G35" s="255"/>
      <c r="H35" s="255"/>
      <c r="I35" s="255"/>
      <c r="J35" s="255"/>
      <c r="K35" s="255"/>
      <c r="L35" s="255"/>
      <c r="M35" s="255"/>
      <c r="N35" s="255"/>
      <c r="O35" s="255"/>
      <c r="P35" s="255"/>
      <c r="Q35" s="255"/>
      <c r="R35" s="256"/>
      <c r="AE35" s="68" t="s">
        <v>2</v>
      </c>
      <c r="AF35" s="68" t="s">
        <v>3</v>
      </c>
      <c r="AG35" s="68" t="s">
        <v>4</v>
      </c>
      <c r="AH35" s="69" t="s">
        <v>5</v>
      </c>
      <c r="AJ35" s="68" t="s">
        <v>2</v>
      </c>
      <c r="AK35" s="68" t="s">
        <v>3</v>
      </c>
      <c r="AL35" s="68" t="s">
        <v>4</v>
      </c>
      <c r="AM35" s="69" t="s">
        <v>5</v>
      </c>
      <c r="AN35" s="183"/>
    </row>
    <row r="36" spans="1:41" ht="16" x14ac:dyDescent="0.2">
      <c r="A36" s="53" t="s">
        <v>48</v>
      </c>
      <c r="B36" s="54" t="s">
        <v>49</v>
      </c>
      <c r="C36" s="54" t="s">
        <v>50</v>
      </c>
      <c r="D36" s="55" t="s">
        <v>51</v>
      </c>
      <c r="E36" s="56" t="s">
        <v>52</v>
      </c>
      <c r="F36" s="56" t="s">
        <v>53</v>
      </c>
      <c r="G36" s="55" t="s">
        <v>54</v>
      </c>
      <c r="H36" s="56" t="s">
        <v>55</v>
      </c>
      <c r="I36" s="56" t="s">
        <v>56</v>
      </c>
      <c r="J36" s="55" t="s">
        <v>57</v>
      </c>
      <c r="K36" s="56" t="s">
        <v>58</v>
      </c>
      <c r="L36" s="56" t="s">
        <v>59</v>
      </c>
      <c r="M36" s="55" t="s">
        <v>60</v>
      </c>
      <c r="N36" s="56" t="s">
        <v>61</v>
      </c>
      <c r="O36" s="56" t="s">
        <v>62</v>
      </c>
      <c r="P36" s="55" t="s">
        <v>51</v>
      </c>
      <c r="Q36" s="56" t="s">
        <v>52</v>
      </c>
      <c r="R36" s="56" t="s">
        <v>53</v>
      </c>
      <c r="V36" s="2" t="s">
        <v>110</v>
      </c>
      <c r="W36" s="2" t="s">
        <v>111</v>
      </c>
      <c r="AD36" s="81" t="s">
        <v>9</v>
      </c>
      <c r="AE36" s="94">
        <v>31000</v>
      </c>
      <c r="AF36" s="36">
        <v>0</v>
      </c>
      <c r="AG36" s="94">
        <v>87050</v>
      </c>
      <c r="AH36" s="95">
        <v>8600</v>
      </c>
      <c r="AJ36" s="172">
        <v>142</v>
      </c>
      <c r="AK36" s="174"/>
      <c r="AL36" s="172">
        <v>232</v>
      </c>
      <c r="AM36" s="172">
        <v>167</v>
      </c>
      <c r="AN36" s="2" t="s">
        <v>46</v>
      </c>
      <c r="AO36" s="2" t="s">
        <v>2</v>
      </c>
    </row>
    <row r="37" spans="1:41" ht="16" x14ac:dyDescent="0.2">
      <c r="A37" s="52" t="s">
        <v>1</v>
      </c>
      <c r="B37" s="51"/>
      <c r="C37" s="51"/>
      <c r="D37" s="257" t="s">
        <v>64</v>
      </c>
      <c r="E37" s="149"/>
      <c r="F37" s="150"/>
      <c r="G37" s="151"/>
      <c r="H37" s="151"/>
      <c r="I37" s="151"/>
      <c r="J37" s="151"/>
      <c r="K37" s="151"/>
      <c r="L37" s="151"/>
      <c r="M37" s="152"/>
      <c r="N37" s="259" t="s">
        <v>67</v>
      </c>
      <c r="O37" s="262" t="s">
        <v>68</v>
      </c>
      <c r="P37" s="58"/>
      <c r="Q37" s="259" t="s">
        <v>67</v>
      </c>
      <c r="R37" s="264" t="s">
        <v>69</v>
      </c>
      <c r="AD37" s="81" t="s">
        <v>24</v>
      </c>
      <c r="AE37" s="94">
        <v>32500</v>
      </c>
      <c r="AF37" s="94">
        <v>3500</v>
      </c>
      <c r="AG37" s="36">
        <v>0</v>
      </c>
      <c r="AH37" s="95">
        <v>8325</v>
      </c>
      <c r="AJ37" s="172">
        <v>138</v>
      </c>
      <c r="AK37" s="172">
        <v>137</v>
      </c>
      <c r="AL37" s="176"/>
      <c r="AM37" s="97">
        <v>190</v>
      </c>
      <c r="AN37" s="2" t="s">
        <v>47</v>
      </c>
      <c r="AO37" s="2" t="s">
        <v>3</v>
      </c>
    </row>
    <row r="38" spans="1:41" ht="31" x14ac:dyDescent="0.45">
      <c r="A38" s="52" t="s">
        <v>2</v>
      </c>
      <c r="B38" s="51"/>
      <c r="C38" s="51"/>
      <c r="D38" s="257"/>
      <c r="E38" s="266" t="s">
        <v>71</v>
      </c>
      <c r="F38" s="267"/>
      <c r="G38" s="268"/>
      <c r="H38" s="57" t="s">
        <v>112</v>
      </c>
      <c r="I38" s="269" t="s">
        <v>113</v>
      </c>
      <c r="J38" s="270"/>
      <c r="K38" s="270"/>
      <c r="L38" s="148" t="s">
        <v>114</v>
      </c>
      <c r="M38" s="159" t="s">
        <v>115</v>
      </c>
      <c r="N38" s="260"/>
      <c r="O38" s="262"/>
      <c r="P38" s="58"/>
      <c r="Q38" s="260"/>
      <c r="R38" s="264"/>
      <c r="V38" s="153"/>
      <c r="W38" s="153"/>
      <c r="Y38" s="251" t="s">
        <v>116</v>
      </c>
      <c r="Z38" s="252"/>
      <c r="AD38" s="81" t="s">
        <v>18</v>
      </c>
      <c r="AE38" s="94">
        <v>36800</v>
      </c>
      <c r="AF38" s="94">
        <v>3650</v>
      </c>
      <c r="AG38" s="94">
        <v>86000</v>
      </c>
      <c r="AH38" s="95">
        <v>10100</v>
      </c>
      <c r="AJ38" s="172">
        <v>124</v>
      </c>
      <c r="AK38" s="172">
        <v>112</v>
      </c>
      <c r="AL38" s="172">
        <v>212</v>
      </c>
      <c r="AM38" s="172">
        <v>156</v>
      </c>
      <c r="AN38" s="2" t="s">
        <v>47</v>
      </c>
      <c r="AO38" s="2" t="s">
        <v>33</v>
      </c>
    </row>
    <row r="39" spans="1:41" ht="16" x14ac:dyDescent="0.2">
      <c r="A39" s="52" t="s">
        <v>3</v>
      </c>
      <c r="B39" s="51"/>
      <c r="C39" s="51"/>
      <c r="D39" s="257"/>
      <c r="E39" s="149"/>
      <c r="F39" s="150"/>
      <c r="G39" s="151"/>
      <c r="H39" s="151"/>
      <c r="I39" s="151"/>
      <c r="J39" s="151"/>
      <c r="K39" s="151"/>
      <c r="L39" s="151"/>
      <c r="M39" s="152"/>
      <c r="N39" s="260"/>
      <c r="O39" s="262"/>
      <c r="P39" s="58"/>
      <c r="Q39" s="260"/>
      <c r="R39" s="264"/>
      <c r="V39" s="153" t="s">
        <v>2</v>
      </c>
      <c r="W39" s="153">
        <v>80</v>
      </c>
      <c r="Y39" s="4" t="s">
        <v>117</v>
      </c>
      <c r="Z39" s="27" t="s">
        <v>118</v>
      </c>
      <c r="AD39" s="81" t="s">
        <v>28</v>
      </c>
      <c r="AE39" s="94">
        <v>34450</v>
      </c>
      <c r="AF39" s="94">
        <v>3940</v>
      </c>
      <c r="AG39" s="36">
        <v>0</v>
      </c>
      <c r="AH39" s="95">
        <v>8700</v>
      </c>
      <c r="AJ39" s="175">
        <v>154</v>
      </c>
      <c r="AK39" s="172">
        <v>141</v>
      </c>
      <c r="AL39" s="173"/>
      <c r="AM39" s="172">
        <v>181</v>
      </c>
      <c r="AN39" s="2" t="s">
        <v>7</v>
      </c>
      <c r="AO39" s="2" t="s">
        <v>5</v>
      </c>
    </row>
    <row r="40" spans="1:41" ht="16" x14ac:dyDescent="0.2">
      <c r="A40" s="52" t="s">
        <v>33</v>
      </c>
      <c r="B40" s="51">
        <v>10</v>
      </c>
      <c r="C40" s="51">
        <v>1</v>
      </c>
      <c r="D40" s="257"/>
      <c r="E40" s="57" t="s">
        <v>80</v>
      </c>
      <c r="F40" s="269" t="s">
        <v>66</v>
      </c>
      <c r="G40" s="270"/>
      <c r="H40" s="270"/>
      <c r="I40" s="270"/>
      <c r="J40" s="270"/>
      <c r="K40" s="270"/>
      <c r="L40" s="270"/>
      <c r="M40" s="147" t="s">
        <v>81</v>
      </c>
      <c r="N40" s="260"/>
      <c r="O40" s="262"/>
      <c r="P40" s="58"/>
      <c r="Q40" s="260"/>
      <c r="R40" s="264"/>
      <c r="V40" s="153" t="s">
        <v>3</v>
      </c>
      <c r="W40" s="153">
        <v>200</v>
      </c>
      <c r="Y40" s="5" t="s">
        <v>119</v>
      </c>
      <c r="Z40" s="18">
        <v>0.1</v>
      </c>
    </row>
    <row r="41" spans="1:41" ht="16" x14ac:dyDescent="0.2">
      <c r="A41" s="59" t="s">
        <v>34</v>
      </c>
      <c r="B41" s="60"/>
      <c r="C41" s="60"/>
      <c r="D41" s="258"/>
      <c r="E41" s="274" t="s">
        <v>71</v>
      </c>
      <c r="F41" s="275"/>
      <c r="G41" s="276"/>
      <c r="H41" s="57" t="s">
        <v>120</v>
      </c>
      <c r="I41" s="269" t="s">
        <v>121</v>
      </c>
      <c r="J41" s="270"/>
      <c r="K41" s="270"/>
      <c r="L41" s="270"/>
      <c r="M41" s="147" t="s">
        <v>122</v>
      </c>
      <c r="N41" s="261"/>
      <c r="O41" s="263"/>
      <c r="P41" s="61"/>
      <c r="Q41" s="261"/>
      <c r="R41" s="265"/>
      <c r="V41" s="153" t="s">
        <v>33</v>
      </c>
      <c r="W41" s="153">
        <v>40</v>
      </c>
      <c r="Y41" s="6" t="s">
        <v>123</v>
      </c>
      <c r="Z41" s="19">
        <v>0.18</v>
      </c>
    </row>
    <row r="42" spans="1:41" x14ac:dyDescent="0.2">
      <c r="D42" s="2">
        <v>31</v>
      </c>
      <c r="E42" s="22">
        <v>30</v>
      </c>
      <c r="F42" s="22">
        <v>31</v>
      </c>
      <c r="G42" s="22">
        <v>31</v>
      </c>
      <c r="H42" s="2">
        <v>28</v>
      </c>
      <c r="I42" s="2">
        <v>31</v>
      </c>
      <c r="J42" s="2">
        <v>30</v>
      </c>
      <c r="K42" s="2">
        <v>31</v>
      </c>
      <c r="L42" s="2">
        <v>30</v>
      </c>
      <c r="M42" s="2">
        <v>31</v>
      </c>
      <c r="N42" s="2">
        <v>31</v>
      </c>
      <c r="O42" s="2">
        <v>30</v>
      </c>
      <c r="P42" s="2">
        <v>31</v>
      </c>
      <c r="Q42" s="2">
        <v>30</v>
      </c>
      <c r="R42" s="2">
        <v>31</v>
      </c>
      <c r="V42" s="153" t="s">
        <v>5</v>
      </c>
      <c r="W42" s="153">
        <v>80</v>
      </c>
      <c r="AH42" s="2" t="s">
        <v>124</v>
      </c>
      <c r="AI42" s="2" t="s">
        <v>125</v>
      </c>
      <c r="AJ42" s="2" t="s">
        <v>126</v>
      </c>
    </row>
    <row r="43" spans="1:41" x14ac:dyDescent="0.2">
      <c r="AE43" s="145" t="s">
        <v>127</v>
      </c>
      <c r="AF43" s="200" t="s">
        <v>128</v>
      </c>
      <c r="AH43" s="81">
        <v>1</v>
      </c>
      <c r="AI43" s="81">
        <v>3</v>
      </c>
      <c r="AJ43" s="83">
        <v>0.85</v>
      </c>
    </row>
    <row r="44" spans="1:41" x14ac:dyDescent="0.2">
      <c r="B44" s="153" t="s">
        <v>129</v>
      </c>
      <c r="C44" s="153"/>
      <c r="D44" s="153"/>
      <c r="E44" s="154"/>
      <c r="F44" s="154"/>
      <c r="G44" s="154"/>
      <c r="AE44" s="2" t="s">
        <v>130</v>
      </c>
      <c r="AG44" s="2" t="s">
        <v>131</v>
      </c>
    </row>
    <row r="45" spans="1:41" x14ac:dyDescent="0.2">
      <c r="B45" s="153"/>
      <c r="C45" s="153" t="s">
        <v>132</v>
      </c>
      <c r="D45" s="153"/>
      <c r="E45" s="154" t="s">
        <v>133</v>
      </c>
      <c r="F45" s="154" t="s">
        <v>134</v>
      </c>
      <c r="G45" s="154" t="s">
        <v>135</v>
      </c>
      <c r="AE45" s="2" t="s">
        <v>5</v>
      </c>
    </row>
    <row r="46" spans="1:41" x14ac:dyDescent="0.2">
      <c r="B46" s="153"/>
      <c r="C46" s="153"/>
      <c r="D46" s="153"/>
      <c r="E46" s="154"/>
      <c r="F46" s="154"/>
      <c r="G46" s="154"/>
      <c r="AD46" s="193"/>
      <c r="AE46" s="193"/>
      <c r="AF46" s="193"/>
      <c r="AG46" s="193"/>
      <c r="AH46" s="193"/>
      <c r="AI46" s="193"/>
      <c r="AJ46" s="193"/>
      <c r="AK46" s="193"/>
      <c r="AL46" s="193"/>
      <c r="AM46" s="193"/>
      <c r="AN46" s="193"/>
      <c r="AO46" s="193"/>
    </row>
    <row r="47" spans="1:41" x14ac:dyDescent="0.2">
      <c r="B47" s="153"/>
      <c r="C47" s="153"/>
      <c r="D47" s="153"/>
      <c r="E47" s="154"/>
      <c r="F47" s="154"/>
      <c r="G47" s="154"/>
      <c r="AD47" s="193"/>
      <c r="AE47" s="193"/>
      <c r="AF47" s="193" t="s">
        <v>136</v>
      </c>
      <c r="AG47" s="193" t="s">
        <v>40</v>
      </c>
      <c r="AH47" s="193" t="s">
        <v>111</v>
      </c>
      <c r="AI47" s="193"/>
      <c r="AJ47" s="193"/>
      <c r="AK47" s="193" t="s">
        <v>40</v>
      </c>
      <c r="AL47" s="193" t="s">
        <v>98</v>
      </c>
      <c r="AM47" s="193" t="s">
        <v>94</v>
      </c>
      <c r="AN47" s="193" t="s">
        <v>96</v>
      </c>
      <c r="AO47" s="193"/>
    </row>
    <row r="48" spans="1:41" x14ac:dyDescent="0.2">
      <c r="B48" s="153"/>
      <c r="C48" s="153"/>
      <c r="D48" s="153"/>
      <c r="E48" s="154"/>
      <c r="F48" s="154"/>
      <c r="G48" s="154"/>
      <c r="AD48" s="193"/>
      <c r="AE48" s="193" t="s">
        <v>33</v>
      </c>
      <c r="AF48" s="197">
        <v>86000</v>
      </c>
      <c r="AG48" s="197">
        <v>3440000</v>
      </c>
      <c r="AH48" s="198">
        <v>40</v>
      </c>
      <c r="AI48" s="193"/>
      <c r="AJ48" s="193"/>
      <c r="AK48" s="197">
        <f>SUM(AF48+AG48+AF49+AG49)</f>
        <v>4344100</v>
      </c>
      <c r="AL48" s="197">
        <f>AK48*Y53</f>
        <v>86882</v>
      </c>
      <c r="AM48" s="197">
        <f>AK48*Z40</f>
        <v>434410</v>
      </c>
      <c r="AN48" s="197">
        <f>AK48+AL48-AM48</f>
        <v>3996572</v>
      </c>
      <c r="AO48" s="193"/>
    </row>
    <row r="49" spans="1:44" ht="31" x14ac:dyDescent="0.45">
      <c r="B49" s="153" t="s">
        <v>95</v>
      </c>
      <c r="C49" s="155">
        <f>E49+F49+G49</f>
        <v>142</v>
      </c>
      <c r="D49" s="153"/>
      <c r="E49" s="154">
        <v>42</v>
      </c>
      <c r="F49" s="154">
        <v>100</v>
      </c>
      <c r="G49" s="154">
        <v>0</v>
      </c>
      <c r="X49" s="251" t="s">
        <v>137</v>
      </c>
      <c r="Y49" s="280"/>
      <c r="Z49" s="281"/>
      <c r="AD49" s="193"/>
      <c r="AE49" s="193" t="s">
        <v>5</v>
      </c>
      <c r="AF49" s="197">
        <v>10100</v>
      </c>
      <c r="AG49" s="197">
        <v>808000</v>
      </c>
      <c r="AH49" s="198">
        <v>80</v>
      </c>
      <c r="AI49" s="193"/>
      <c r="AJ49" s="193"/>
      <c r="AK49" s="194">
        <f>AG48</f>
        <v>3440000</v>
      </c>
      <c r="AL49" s="194">
        <f>AK49*Y53</f>
        <v>68800</v>
      </c>
      <c r="AM49" s="194">
        <f>AK49*Z40</f>
        <v>344000</v>
      </c>
      <c r="AN49" s="194">
        <f>AK49+AL49-AM49</f>
        <v>3164800</v>
      </c>
      <c r="AO49" s="193" t="s">
        <v>138</v>
      </c>
    </row>
    <row r="50" spans="1:44" ht="64" x14ac:dyDescent="0.2">
      <c r="B50" s="153" t="s">
        <v>33</v>
      </c>
      <c r="C50" s="153">
        <f>E50+F50+G50</f>
        <v>262</v>
      </c>
      <c r="D50" s="153"/>
      <c r="E50" s="154">
        <v>42</v>
      </c>
      <c r="F50" s="154">
        <v>190</v>
      </c>
      <c r="G50" s="154">
        <v>30</v>
      </c>
      <c r="X50" s="33" t="s">
        <v>139</v>
      </c>
      <c r="Y50" s="10" t="s">
        <v>140</v>
      </c>
      <c r="Z50" s="34" t="s">
        <v>141</v>
      </c>
      <c r="AE50" s="145" t="s">
        <v>142</v>
      </c>
      <c r="AF50" s="2" t="s">
        <v>143</v>
      </c>
      <c r="AH50" s="81">
        <v>2</v>
      </c>
      <c r="AI50" s="81">
        <v>1</v>
      </c>
      <c r="AJ50" s="83">
        <v>0.86</v>
      </c>
    </row>
    <row r="51" spans="1:44" x14ac:dyDescent="0.2">
      <c r="B51" s="153" t="s">
        <v>5</v>
      </c>
      <c r="C51" s="153">
        <f>E51+F51+G51</f>
        <v>167</v>
      </c>
      <c r="D51" s="153"/>
      <c r="E51" s="154">
        <v>42</v>
      </c>
      <c r="F51" s="154">
        <v>125</v>
      </c>
      <c r="G51" s="154">
        <v>0</v>
      </c>
      <c r="X51" s="20" t="s">
        <v>144</v>
      </c>
      <c r="Y51" s="38">
        <v>0.02</v>
      </c>
      <c r="Z51" s="62">
        <v>42</v>
      </c>
      <c r="AE51" s="2" t="s">
        <v>3</v>
      </c>
      <c r="AG51" s="2" t="s">
        <v>145</v>
      </c>
    </row>
    <row r="52" spans="1:44" x14ac:dyDescent="0.2">
      <c r="X52" s="20" t="s">
        <v>146</v>
      </c>
      <c r="Y52" s="38">
        <v>0.03</v>
      </c>
      <c r="Z52" s="62">
        <v>28</v>
      </c>
    </row>
    <row r="53" spans="1:44" x14ac:dyDescent="0.2">
      <c r="X53" s="21" t="s">
        <v>147</v>
      </c>
      <c r="Y53" s="38">
        <v>0.02</v>
      </c>
      <c r="Z53" s="62">
        <v>14</v>
      </c>
    </row>
    <row r="54" spans="1:44" ht="47" x14ac:dyDescent="0.55000000000000004">
      <c r="H54" s="161" t="s">
        <v>148</v>
      </c>
      <c r="K54" s="161" t="s">
        <v>149</v>
      </c>
      <c r="O54" s="162" t="s">
        <v>150</v>
      </c>
      <c r="X54" s="39" t="s">
        <v>151</v>
      </c>
      <c r="Y54" s="40">
        <v>0.03</v>
      </c>
      <c r="Z54" s="63">
        <v>56</v>
      </c>
      <c r="AE54" s="193"/>
      <c r="AF54" s="193" t="s">
        <v>136</v>
      </c>
      <c r="AG54" s="193" t="s">
        <v>40</v>
      </c>
      <c r="AH54" s="193" t="s">
        <v>111</v>
      </c>
      <c r="AI54" s="193"/>
      <c r="AJ54" s="193"/>
      <c r="AK54" s="193" t="s">
        <v>40</v>
      </c>
      <c r="AL54" s="193" t="s">
        <v>98</v>
      </c>
      <c r="AM54" s="193" t="s">
        <v>94</v>
      </c>
      <c r="AN54" s="193" t="s">
        <v>96</v>
      </c>
    </row>
    <row r="55" spans="1:44" ht="26" x14ac:dyDescent="0.3">
      <c r="A55" s="254" t="s">
        <v>45</v>
      </c>
      <c r="B55" s="255"/>
      <c r="C55" s="255"/>
      <c r="D55" s="255"/>
      <c r="E55" s="255"/>
      <c r="F55" s="255"/>
      <c r="G55" s="255"/>
      <c r="H55" s="255"/>
      <c r="I55" s="255"/>
      <c r="J55" s="255"/>
      <c r="K55" s="255"/>
      <c r="L55" s="255"/>
      <c r="M55" s="255"/>
      <c r="N55" s="255"/>
      <c r="O55" s="255"/>
      <c r="P55" s="255"/>
      <c r="Q55" s="255"/>
      <c r="R55" s="256"/>
      <c r="AE55" s="193" t="s">
        <v>3</v>
      </c>
      <c r="AF55" s="197">
        <v>3050</v>
      </c>
      <c r="AG55" s="197">
        <f>AF55*AH55</f>
        <v>610000</v>
      </c>
      <c r="AH55" s="198">
        <v>200</v>
      </c>
      <c r="AI55" s="193"/>
      <c r="AJ55" s="193"/>
      <c r="AK55" s="197">
        <f>AH55*AF55</f>
        <v>610000</v>
      </c>
      <c r="AL55" s="197">
        <f>AK55*Y54</f>
        <v>18300</v>
      </c>
      <c r="AM55" s="198">
        <v>0</v>
      </c>
      <c r="AN55" s="197">
        <f>AK55+AL55</f>
        <v>628300</v>
      </c>
    </row>
    <row r="56" spans="1:44" ht="16" x14ac:dyDescent="0.2">
      <c r="A56" s="53" t="s">
        <v>48</v>
      </c>
      <c r="B56" s="54" t="s">
        <v>49</v>
      </c>
      <c r="C56" s="54" t="s">
        <v>50</v>
      </c>
      <c r="D56" s="55" t="s">
        <v>51</v>
      </c>
      <c r="E56" s="56" t="s">
        <v>52</v>
      </c>
      <c r="F56" s="56" t="s">
        <v>53</v>
      </c>
      <c r="G56" s="55" t="s">
        <v>54</v>
      </c>
      <c r="H56" s="56" t="s">
        <v>55</v>
      </c>
      <c r="I56" s="56" t="s">
        <v>56</v>
      </c>
      <c r="J56" s="55" t="s">
        <v>57</v>
      </c>
      <c r="K56" s="56" t="s">
        <v>58</v>
      </c>
      <c r="L56" s="56" t="s">
        <v>59</v>
      </c>
      <c r="M56" s="55" t="s">
        <v>60</v>
      </c>
      <c r="N56" s="56" t="s">
        <v>61</v>
      </c>
      <c r="O56" s="56" t="s">
        <v>62</v>
      </c>
      <c r="P56" s="55" t="s">
        <v>51</v>
      </c>
      <c r="Q56" s="56" t="s">
        <v>52</v>
      </c>
      <c r="R56" s="56" t="s">
        <v>53</v>
      </c>
    </row>
    <row r="57" spans="1:44" ht="33" customHeight="1" x14ac:dyDescent="0.2">
      <c r="A57" s="52" t="s">
        <v>1</v>
      </c>
      <c r="B57" s="51">
        <v>10</v>
      </c>
      <c r="C57" s="51" t="s">
        <v>63</v>
      </c>
      <c r="D57" s="257" t="s">
        <v>64</v>
      </c>
      <c r="E57" s="149" t="s">
        <v>65</v>
      </c>
      <c r="F57" s="272" t="s">
        <v>66</v>
      </c>
      <c r="G57" s="273"/>
      <c r="H57" s="273"/>
      <c r="I57" s="273"/>
      <c r="J57" s="273"/>
      <c r="K57" s="273"/>
      <c r="L57" s="273"/>
      <c r="M57" s="277"/>
      <c r="N57" s="259" t="s">
        <v>67</v>
      </c>
      <c r="O57" s="262" t="s">
        <v>68</v>
      </c>
      <c r="P57" s="58"/>
      <c r="Q57" s="259" t="s">
        <v>67</v>
      </c>
      <c r="R57" s="264" t="s">
        <v>69</v>
      </c>
    </row>
    <row r="58" spans="1:44" ht="30.75" customHeight="1" x14ac:dyDescent="0.2">
      <c r="A58" s="52" t="s">
        <v>2</v>
      </c>
      <c r="B58" s="51">
        <v>7</v>
      </c>
      <c r="C58" s="51" t="s">
        <v>70</v>
      </c>
      <c r="D58" s="257"/>
      <c r="E58" s="266" t="s">
        <v>71</v>
      </c>
      <c r="F58" s="267"/>
      <c r="G58" s="268"/>
      <c r="H58" s="57" t="s">
        <v>112</v>
      </c>
      <c r="I58" s="156"/>
      <c r="J58" s="157"/>
      <c r="K58" s="158" t="s">
        <v>152</v>
      </c>
      <c r="L58" s="278" t="s">
        <v>153</v>
      </c>
      <c r="M58" s="279"/>
      <c r="N58" s="260"/>
      <c r="O58" s="262"/>
      <c r="P58" s="58"/>
      <c r="Q58" s="260"/>
      <c r="R58" s="264"/>
      <c r="AE58" s="145" t="s">
        <v>107</v>
      </c>
      <c r="AF58" s="2" t="s">
        <v>154</v>
      </c>
      <c r="AH58" s="81">
        <v>2</v>
      </c>
      <c r="AI58" s="81">
        <v>2</v>
      </c>
      <c r="AJ58" s="83">
        <v>0.89</v>
      </c>
    </row>
    <row r="59" spans="1:44" ht="29.25" customHeight="1" x14ac:dyDescent="0.2">
      <c r="A59" s="52" t="s">
        <v>3</v>
      </c>
      <c r="B59" s="51">
        <v>8</v>
      </c>
      <c r="C59" s="51" t="s">
        <v>74</v>
      </c>
      <c r="D59" s="257"/>
      <c r="E59" s="57" t="s">
        <v>155</v>
      </c>
      <c r="F59" s="269" t="s">
        <v>66</v>
      </c>
      <c r="G59" s="270"/>
      <c r="H59" s="270"/>
      <c r="I59" s="148" t="s">
        <v>156</v>
      </c>
      <c r="J59" s="278" t="s">
        <v>157</v>
      </c>
      <c r="K59" s="278"/>
      <c r="L59" s="278"/>
      <c r="M59" s="279"/>
      <c r="N59" s="260"/>
      <c r="O59" s="262"/>
      <c r="P59" s="58"/>
      <c r="Q59" s="260"/>
      <c r="R59" s="264"/>
      <c r="V59" t="s">
        <v>0</v>
      </c>
      <c r="W59" s="68" t="s">
        <v>2</v>
      </c>
      <c r="AE59" s="2" t="s">
        <v>2</v>
      </c>
      <c r="AG59" s="2" t="s">
        <v>158</v>
      </c>
      <c r="AI59" s="2" t="s">
        <v>159</v>
      </c>
      <c r="AK59" s="2" t="s">
        <v>160</v>
      </c>
      <c r="AR59" s="2" t="s">
        <v>161</v>
      </c>
    </row>
    <row r="60" spans="1:44" ht="16" x14ac:dyDescent="0.2">
      <c r="A60" s="52" t="s">
        <v>4</v>
      </c>
      <c r="B60" s="51">
        <v>10</v>
      </c>
      <c r="C60" s="51" t="s">
        <v>63</v>
      </c>
      <c r="D60" s="257"/>
      <c r="E60" s="149" t="s">
        <v>65</v>
      </c>
      <c r="F60" s="272" t="s">
        <v>66</v>
      </c>
      <c r="G60" s="273"/>
      <c r="H60" s="273"/>
      <c r="I60" s="273"/>
      <c r="J60" s="273"/>
      <c r="K60" s="273"/>
      <c r="L60" s="273"/>
      <c r="M60" s="277"/>
      <c r="N60" s="260"/>
      <c r="O60" s="262"/>
      <c r="P60" s="58"/>
      <c r="Q60" s="260"/>
      <c r="R60" s="264"/>
      <c r="V60" s="73" t="s">
        <v>31</v>
      </c>
      <c r="W60" s="89">
        <v>114</v>
      </c>
    </row>
    <row r="61" spans="1:44" ht="30.75" customHeight="1" x14ac:dyDescent="0.2">
      <c r="A61" s="59" t="s">
        <v>5</v>
      </c>
      <c r="B61" s="60">
        <v>5</v>
      </c>
      <c r="C61" s="60" t="s">
        <v>70</v>
      </c>
      <c r="D61" s="258"/>
      <c r="E61" s="274" t="s">
        <v>71</v>
      </c>
      <c r="F61" s="275"/>
      <c r="G61" s="276"/>
      <c r="H61" s="57" t="s">
        <v>120</v>
      </c>
      <c r="I61" s="269" t="s">
        <v>162</v>
      </c>
      <c r="J61" s="270"/>
      <c r="K61" s="270"/>
      <c r="L61" s="270"/>
      <c r="M61" s="271"/>
      <c r="N61" s="160" t="s">
        <v>163</v>
      </c>
      <c r="O61" s="263"/>
      <c r="P61" s="61"/>
      <c r="Q61" s="261"/>
      <c r="R61" s="265"/>
      <c r="V61" s="203" t="s">
        <v>17</v>
      </c>
      <c r="W61" s="172">
        <v>124</v>
      </c>
      <c r="AE61" s="193"/>
      <c r="AF61" s="193"/>
      <c r="AG61" s="193"/>
      <c r="AH61" s="193"/>
      <c r="AI61" s="193"/>
      <c r="AJ61" s="193"/>
      <c r="AK61" s="193"/>
      <c r="AL61" s="193"/>
      <c r="AM61" s="193"/>
      <c r="AN61" s="193"/>
    </row>
    <row r="62" spans="1:44" x14ac:dyDescent="0.2">
      <c r="D62" s="22">
        <v>31</v>
      </c>
      <c r="E62" s="120">
        <v>30</v>
      </c>
      <c r="F62" s="120">
        <v>31</v>
      </c>
      <c r="G62" s="121">
        <v>31</v>
      </c>
      <c r="H62" s="121">
        <v>28</v>
      </c>
      <c r="I62" s="121">
        <v>31</v>
      </c>
      <c r="J62" s="121">
        <v>30</v>
      </c>
      <c r="K62" s="121">
        <v>31</v>
      </c>
      <c r="L62" s="121">
        <v>30</v>
      </c>
      <c r="M62" s="120">
        <v>31</v>
      </c>
      <c r="N62" s="120">
        <v>31</v>
      </c>
      <c r="O62" s="120">
        <v>30</v>
      </c>
      <c r="P62" s="120">
        <v>31</v>
      </c>
      <c r="Q62" s="120">
        <v>30</v>
      </c>
      <c r="R62" s="120">
        <v>31</v>
      </c>
      <c r="V62" s="73" t="s">
        <v>21</v>
      </c>
      <c r="W62" s="175">
        <v>126</v>
      </c>
      <c r="AE62" s="193"/>
      <c r="AF62" s="193" t="s">
        <v>136</v>
      </c>
      <c r="AG62" s="193" t="s">
        <v>40</v>
      </c>
      <c r="AH62" s="193" t="s">
        <v>111</v>
      </c>
      <c r="AI62" s="193"/>
      <c r="AJ62" s="193"/>
      <c r="AK62" s="193" t="s">
        <v>40</v>
      </c>
      <c r="AL62" s="193" t="s">
        <v>98</v>
      </c>
      <c r="AM62" s="193" t="s">
        <v>94</v>
      </c>
      <c r="AN62" s="193" t="s">
        <v>96</v>
      </c>
    </row>
    <row r="63" spans="1:44" x14ac:dyDescent="0.2">
      <c r="V63" s="80" t="s">
        <v>23</v>
      </c>
      <c r="W63" s="172">
        <v>138</v>
      </c>
      <c r="AE63" s="193" t="s">
        <v>2</v>
      </c>
      <c r="AF63" s="199">
        <v>31000</v>
      </c>
      <c r="AG63" s="199">
        <v>2480000</v>
      </c>
      <c r="AH63" s="198">
        <v>80</v>
      </c>
      <c r="AI63" s="198"/>
      <c r="AJ63" s="193"/>
      <c r="AK63" s="197">
        <f>AH63*AF63</f>
        <v>2480000</v>
      </c>
      <c r="AL63" s="197">
        <f>AK63*Y51</f>
        <v>49600</v>
      </c>
      <c r="AM63" s="198">
        <v>0</v>
      </c>
      <c r="AN63" s="197">
        <f>AK63+AL63</f>
        <v>2529600</v>
      </c>
    </row>
    <row r="64" spans="1:44" x14ac:dyDescent="0.2">
      <c r="V64" s="203" t="s">
        <v>8</v>
      </c>
      <c r="W64" s="172">
        <v>142</v>
      </c>
      <c r="AE64" s="193"/>
      <c r="AF64" s="193"/>
      <c r="AG64" s="193"/>
      <c r="AH64" s="193"/>
      <c r="AI64" s="193"/>
      <c r="AJ64" s="193"/>
      <c r="AK64" s="193"/>
      <c r="AL64" s="193"/>
      <c r="AM64" s="193"/>
      <c r="AN64" s="193"/>
    </row>
    <row r="65" spans="1:40" x14ac:dyDescent="0.2">
      <c r="A65" s="153" t="s">
        <v>164</v>
      </c>
      <c r="B65" s="153"/>
      <c r="C65" s="153"/>
      <c r="D65" s="154"/>
      <c r="E65" s="154"/>
      <c r="F65" s="154"/>
      <c r="V65" s="73" t="s">
        <v>19</v>
      </c>
      <c r="W65" s="175">
        <v>143</v>
      </c>
    </row>
    <row r="66" spans="1:40" x14ac:dyDescent="0.2">
      <c r="A66" s="153"/>
      <c r="B66" s="153" t="s">
        <v>132</v>
      </c>
      <c r="C66" s="153"/>
      <c r="D66" s="154" t="s">
        <v>133</v>
      </c>
      <c r="E66" s="154" t="s">
        <v>134</v>
      </c>
      <c r="F66" s="154" t="s">
        <v>135</v>
      </c>
      <c r="V66" s="203" t="s">
        <v>13</v>
      </c>
      <c r="W66" s="201">
        <v>149</v>
      </c>
    </row>
    <row r="67" spans="1:40" x14ac:dyDescent="0.2">
      <c r="A67" s="153" t="s">
        <v>95</v>
      </c>
      <c r="B67" s="155">
        <f>D67+E67+F67</f>
        <v>149</v>
      </c>
      <c r="C67" s="153"/>
      <c r="D67" s="154">
        <v>42</v>
      </c>
      <c r="E67" s="154">
        <v>107</v>
      </c>
      <c r="F67" s="154">
        <v>0</v>
      </c>
      <c r="V67" s="73" t="s">
        <v>25</v>
      </c>
      <c r="W67" s="175">
        <v>152</v>
      </c>
    </row>
    <row r="68" spans="1:40" x14ac:dyDescent="0.2">
      <c r="A68" s="153" t="s">
        <v>3</v>
      </c>
      <c r="B68" s="153">
        <f>D68+E68+F68</f>
        <v>168</v>
      </c>
      <c r="C68" s="153"/>
      <c r="D68" s="154">
        <v>42</v>
      </c>
      <c r="E68" s="154">
        <v>96</v>
      </c>
      <c r="F68" s="154">
        <v>30</v>
      </c>
      <c r="V68" s="80" t="s">
        <v>15</v>
      </c>
      <c r="W68" s="96">
        <v>152</v>
      </c>
    </row>
    <row r="69" spans="1:40" x14ac:dyDescent="0.2">
      <c r="A69" s="153" t="s">
        <v>5</v>
      </c>
      <c r="B69" s="153">
        <f>D69+E69</f>
        <v>181</v>
      </c>
      <c r="C69" s="153"/>
      <c r="D69" s="154">
        <v>42</v>
      </c>
      <c r="E69" s="154">
        <v>139</v>
      </c>
      <c r="F69" s="154">
        <v>0</v>
      </c>
      <c r="V69" s="80" t="s">
        <v>27</v>
      </c>
      <c r="W69" s="96">
        <v>154</v>
      </c>
      <c r="AM69" s="2" t="s">
        <v>165</v>
      </c>
      <c r="AN69" s="192">
        <f>AN48+AN55+AN63</f>
        <v>7154472</v>
      </c>
    </row>
    <row r="70" spans="1:40" x14ac:dyDescent="0.2">
      <c r="V70" s="229" t="s">
        <v>29</v>
      </c>
      <c r="W70" s="236">
        <v>155</v>
      </c>
      <c r="AM70" s="2" t="s">
        <v>166</v>
      </c>
      <c r="AN70" s="192">
        <v>200000</v>
      </c>
    </row>
    <row r="72" spans="1:40" ht="47" x14ac:dyDescent="0.55000000000000004">
      <c r="H72" s="161" t="s">
        <v>127</v>
      </c>
      <c r="AM72" s="2" t="s">
        <v>167</v>
      </c>
      <c r="AN72" s="192">
        <f>AN69+AN70</f>
        <v>7354472</v>
      </c>
    </row>
    <row r="73" spans="1:40" ht="26" x14ac:dyDescent="0.3">
      <c r="A73" s="254" t="s">
        <v>45</v>
      </c>
      <c r="B73" s="255"/>
      <c r="C73" s="255"/>
      <c r="D73" s="255"/>
      <c r="E73" s="255"/>
      <c r="F73" s="255"/>
      <c r="G73" s="255"/>
      <c r="H73" s="255"/>
      <c r="I73" s="255"/>
      <c r="J73" s="255"/>
      <c r="K73" s="255"/>
      <c r="L73" s="255"/>
      <c r="M73" s="255"/>
      <c r="N73" s="255"/>
      <c r="O73" s="255"/>
      <c r="P73" s="255"/>
      <c r="Q73" s="255"/>
      <c r="R73" s="256"/>
      <c r="U73" s="253" t="s">
        <v>168</v>
      </c>
      <c r="V73" s="253"/>
      <c r="W73" s="253"/>
      <c r="X73" s="253"/>
      <c r="Y73" s="253"/>
      <c r="Z73" s="253"/>
    </row>
    <row r="74" spans="1:40" ht="16" x14ac:dyDescent="0.2">
      <c r="A74" s="53" t="s">
        <v>48</v>
      </c>
      <c r="B74" s="54" t="s">
        <v>49</v>
      </c>
      <c r="C74" s="54" t="s">
        <v>50</v>
      </c>
      <c r="D74" s="55" t="s">
        <v>51</v>
      </c>
      <c r="E74" s="56" t="s">
        <v>52</v>
      </c>
      <c r="F74" s="56" t="s">
        <v>53</v>
      </c>
      <c r="G74" s="55" t="s">
        <v>54</v>
      </c>
      <c r="H74" s="56" t="s">
        <v>55</v>
      </c>
      <c r="I74" s="56" t="s">
        <v>56</v>
      </c>
      <c r="J74" s="55" t="s">
        <v>57</v>
      </c>
      <c r="K74" s="56" t="s">
        <v>58</v>
      </c>
      <c r="L74" s="56" t="s">
        <v>59</v>
      </c>
      <c r="M74" s="55" t="s">
        <v>60</v>
      </c>
      <c r="N74" s="56" t="s">
        <v>61</v>
      </c>
      <c r="O74" s="56" t="s">
        <v>62</v>
      </c>
      <c r="P74" s="55" t="s">
        <v>51</v>
      </c>
      <c r="Q74" s="56" t="s">
        <v>52</v>
      </c>
      <c r="R74" s="56" t="s">
        <v>53</v>
      </c>
      <c r="U74" s="163" t="s">
        <v>10</v>
      </c>
      <c r="V74" s="164" t="s">
        <v>1</v>
      </c>
      <c r="W74" s="164" t="s">
        <v>2</v>
      </c>
      <c r="X74" s="164" t="s">
        <v>3</v>
      </c>
      <c r="Y74" s="164" t="s">
        <v>4</v>
      </c>
      <c r="Z74" s="164" t="s">
        <v>5</v>
      </c>
    </row>
    <row r="75" spans="1:40" ht="16" x14ac:dyDescent="0.2">
      <c r="A75" s="52" t="s">
        <v>1</v>
      </c>
      <c r="B75" s="51">
        <v>10</v>
      </c>
      <c r="C75" s="51" t="s">
        <v>63</v>
      </c>
      <c r="D75" s="257" t="s">
        <v>64</v>
      </c>
      <c r="E75" s="149" t="s">
        <v>65</v>
      </c>
      <c r="F75" s="272" t="s">
        <v>66</v>
      </c>
      <c r="G75" s="273"/>
      <c r="H75" s="273"/>
      <c r="I75" s="273"/>
      <c r="J75" s="273"/>
      <c r="K75" s="273"/>
      <c r="L75" s="273"/>
      <c r="M75" s="277"/>
      <c r="N75" s="259" t="s">
        <v>67</v>
      </c>
      <c r="O75" s="262" t="s">
        <v>68</v>
      </c>
      <c r="P75" s="58"/>
      <c r="Q75" s="259" t="s">
        <v>67</v>
      </c>
      <c r="R75" s="264" t="s">
        <v>69</v>
      </c>
      <c r="U75" s="165" t="s">
        <v>15</v>
      </c>
      <c r="V75" s="166">
        <v>198</v>
      </c>
      <c r="W75" s="166">
        <v>96</v>
      </c>
      <c r="X75" s="166">
        <v>89</v>
      </c>
      <c r="Y75" s="166">
        <v>200</v>
      </c>
      <c r="Z75" s="166">
        <v>160</v>
      </c>
    </row>
    <row r="76" spans="1:40" ht="16" x14ac:dyDescent="0.2">
      <c r="A76" s="52" t="s">
        <v>2</v>
      </c>
      <c r="B76" s="51">
        <v>7</v>
      </c>
      <c r="C76" s="51" t="s">
        <v>70</v>
      </c>
      <c r="D76" s="257"/>
      <c r="E76" s="266" t="s">
        <v>71</v>
      </c>
      <c r="F76" s="267"/>
      <c r="G76" s="268"/>
      <c r="H76" s="57" t="s">
        <v>65</v>
      </c>
      <c r="I76" s="269" t="s">
        <v>169</v>
      </c>
      <c r="J76" s="270"/>
      <c r="K76" s="270"/>
      <c r="L76" s="270"/>
      <c r="M76" s="271"/>
      <c r="N76" s="260"/>
      <c r="O76" s="262"/>
      <c r="P76" s="58"/>
      <c r="Q76" s="260"/>
      <c r="R76" s="264"/>
      <c r="U76" s="165" t="s">
        <v>8</v>
      </c>
      <c r="V76" s="166">
        <v>200</v>
      </c>
      <c r="W76" s="166">
        <v>100</v>
      </c>
      <c r="X76" s="167"/>
      <c r="Y76" s="166">
        <v>190</v>
      </c>
      <c r="Z76" s="166">
        <v>125</v>
      </c>
    </row>
    <row r="77" spans="1:40" ht="16" x14ac:dyDescent="0.2">
      <c r="A77" s="52" t="s">
        <v>3</v>
      </c>
      <c r="B77" s="51">
        <v>8</v>
      </c>
      <c r="C77" s="51" t="s">
        <v>74</v>
      </c>
      <c r="D77" s="257"/>
      <c r="E77" s="57" t="s">
        <v>65</v>
      </c>
      <c r="F77" s="269" t="s">
        <v>170</v>
      </c>
      <c r="G77" s="270"/>
      <c r="H77" s="270"/>
      <c r="I77" s="270"/>
      <c r="J77" s="270"/>
      <c r="K77" s="270"/>
      <c r="L77" s="270"/>
      <c r="M77" s="271"/>
      <c r="N77" s="260"/>
      <c r="O77" s="262"/>
      <c r="P77" s="58"/>
      <c r="Q77" s="260"/>
      <c r="R77" s="264"/>
      <c r="U77" s="168" t="s">
        <v>19</v>
      </c>
      <c r="V77" s="169">
        <v>194</v>
      </c>
      <c r="W77" s="169">
        <v>101</v>
      </c>
      <c r="X77" s="167"/>
      <c r="Y77" s="169">
        <v>196</v>
      </c>
      <c r="Z77" s="169">
        <v>152</v>
      </c>
    </row>
    <row r="78" spans="1:40" ht="16" x14ac:dyDescent="0.2">
      <c r="A78" s="52" t="s">
        <v>4</v>
      </c>
      <c r="B78" s="51">
        <v>10</v>
      </c>
      <c r="C78" s="51" t="s">
        <v>63</v>
      </c>
      <c r="D78" s="257"/>
      <c r="E78" s="57" t="s">
        <v>65</v>
      </c>
      <c r="F78" s="269" t="s">
        <v>171</v>
      </c>
      <c r="G78" s="270"/>
      <c r="H78" s="270"/>
      <c r="I78" s="270"/>
      <c r="J78" s="270"/>
      <c r="K78" s="270"/>
      <c r="L78" s="270"/>
      <c r="M78" s="271"/>
      <c r="N78" s="260"/>
      <c r="O78" s="262"/>
      <c r="P78" s="58"/>
      <c r="Q78" s="260"/>
      <c r="R78" s="264"/>
      <c r="U78" s="168" t="s">
        <v>21</v>
      </c>
      <c r="V78" s="169">
        <v>250</v>
      </c>
      <c r="W78" s="169">
        <v>98</v>
      </c>
      <c r="X78" s="169">
        <v>90</v>
      </c>
      <c r="Y78" s="169">
        <v>195</v>
      </c>
      <c r="Z78" s="169">
        <v>152</v>
      </c>
    </row>
    <row r="79" spans="1:40" ht="16" x14ac:dyDescent="0.2">
      <c r="A79" s="59" t="s">
        <v>5</v>
      </c>
      <c r="B79" s="60">
        <v>5</v>
      </c>
      <c r="C79" s="60" t="s">
        <v>70</v>
      </c>
      <c r="D79" s="258"/>
      <c r="E79" s="274" t="s">
        <v>71</v>
      </c>
      <c r="F79" s="275"/>
      <c r="G79" s="276"/>
      <c r="H79" s="57" t="s">
        <v>65</v>
      </c>
      <c r="I79" s="269" t="s">
        <v>172</v>
      </c>
      <c r="J79" s="270"/>
      <c r="K79" s="270"/>
      <c r="L79" s="270"/>
      <c r="M79" s="271"/>
      <c r="N79" s="261"/>
      <c r="O79" s="263"/>
      <c r="P79" s="61"/>
      <c r="Q79" s="261"/>
      <c r="R79" s="265"/>
      <c r="U79" s="168" t="s">
        <v>13</v>
      </c>
      <c r="V79" s="167"/>
      <c r="W79" s="169">
        <v>107</v>
      </c>
      <c r="X79" s="169">
        <v>96</v>
      </c>
      <c r="Y79" s="167"/>
      <c r="Z79" s="169">
        <v>139</v>
      </c>
    </row>
    <row r="80" spans="1:40" x14ac:dyDescent="0.2">
      <c r="U80" s="165" t="s">
        <v>23</v>
      </c>
      <c r="V80" s="167"/>
      <c r="W80" s="166">
        <v>96</v>
      </c>
      <c r="X80" s="166">
        <v>95</v>
      </c>
      <c r="Y80" s="167"/>
      <c r="Z80" s="166">
        <v>148</v>
      </c>
    </row>
    <row r="81" spans="1:26" x14ac:dyDescent="0.2">
      <c r="U81" s="165"/>
      <c r="V81" s="167"/>
      <c r="W81" s="166"/>
      <c r="X81" s="166"/>
      <c r="Y81" s="167"/>
      <c r="Z81" s="166"/>
    </row>
    <row r="82" spans="1:26" x14ac:dyDescent="0.2">
      <c r="U82" s="165" t="s">
        <v>17</v>
      </c>
      <c r="V82" s="166">
        <v>230</v>
      </c>
      <c r="W82" s="166">
        <v>110</v>
      </c>
      <c r="X82" s="166">
        <v>98</v>
      </c>
      <c r="Y82" s="166">
        <v>198</v>
      </c>
      <c r="Z82" s="166">
        <v>142</v>
      </c>
    </row>
    <row r="83" spans="1:26" ht="47" x14ac:dyDescent="0.55000000000000004">
      <c r="H83" s="161" t="s">
        <v>173</v>
      </c>
      <c r="U83" s="168" t="s">
        <v>25</v>
      </c>
      <c r="V83" s="169">
        <v>203</v>
      </c>
      <c r="W83" s="169">
        <v>96</v>
      </c>
      <c r="X83" s="169">
        <v>88</v>
      </c>
      <c r="Y83" s="169">
        <v>197</v>
      </c>
      <c r="Z83" s="169">
        <v>130</v>
      </c>
    </row>
    <row r="84" spans="1:26" ht="26" x14ac:dyDescent="0.3">
      <c r="A84" s="254" t="s">
        <v>45</v>
      </c>
      <c r="B84" s="255"/>
      <c r="C84" s="255"/>
      <c r="D84" s="255"/>
      <c r="E84" s="255"/>
      <c r="F84" s="255"/>
      <c r="G84" s="255"/>
      <c r="H84" s="255"/>
      <c r="I84" s="255"/>
      <c r="J84" s="255"/>
      <c r="K84" s="255"/>
      <c r="L84" s="255"/>
      <c r="M84" s="255"/>
      <c r="N84" s="255"/>
      <c r="O84" s="255"/>
      <c r="P84" s="255"/>
      <c r="Q84" s="255"/>
      <c r="R84" s="256"/>
      <c r="U84" s="165" t="s">
        <v>27</v>
      </c>
      <c r="V84" s="167"/>
      <c r="W84" s="166">
        <v>112</v>
      </c>
      <c r="X84" s="166">
        <v>99</v>
      </c>
      <c r="Y84" s="167"/>
      <c r="Z84" s="166">
        <v>139</v>
      </c>
    </row>
    <row r="85" spans="1:26" ht="16" x14ac:dyDescent="0.2">
      <c r="A85" s="53" t="s">
        <v>48</v>
      </c>
      <c r="B85" s="54" t="s">
        <v>49</v>
      </c>
      <c r="C85" s="54" t="s">
        <v>50</v>
      </c>
      <c r="D85" s="55" t="s">
        <v>51</v>
      </c>
      <c r="E85" s="56" t="s">
        <v>52</v>
      </c>
      <c r="F85" s="56" t="s">
        <v>53</v>
      </c>
      <c r="G85" s="55" t="s">
        <v>54</v>
      </c>
      <c r="H85" s="56" t="s">
        <v>55</v>
      </c>
      <c r="I85" s="56" t="s">
        <v>56</v>
      </c>
      <c r="J85" s="55" t="s">
        <v>57</v>
      </c>
      <c r="K85" s="56" t="s">
        <v>58</v>
      </c>
      <c r="L85" s="56" t="s">
        <v>59</v>
      </c>
      <c r="M85" s="55" t="s">
        <v>60</v>
      </c>
      <c r="N85" s="56" t="s">
        <v>61</v>
      </c>
      <c r="O85" s="56" t="s">
        <v>62</v>
      </c>
      <c r="P85" s="55" t="s">
        <v>51</v>
      </c>
      <c r="Q85" s="56" t="s">
        <v>52</v>
      </c>
      <c r="R85" s="56" t="s">
        <v>53</v>
      </c>
      <c r="U85" s="165" t="s">
        <v>29</v>
      </c>
      <c r="V85" s="167"/>
      <c r="W85" s="166">
        <v>99</v>
      </c>
      <c r="X85" s="166">
        <v>97</v>
      </c>
      <c r="Y85" s="167"/>
      <c r="Z85" s="166">
        <v>157</v>
      </c>
    </row>
    <row r="86" spans="1:26" ht="16" x14ac:dyDescent="0.2">
      <c r="A86" s="52" t="s">
        <v>1</v>
      </c>
      <c r="B86" s="51">
        <v>10</v>
      </c>
      <c r="C86" s="51" t="s">
        <v>63</v>
      </c>
      <c r="D86" s="257" t="s">
        <v>64</v>
      </c>
      <c r="E86" s="149" t="s">
        <v>65</v>
      </c>
      <c r="F86" s="272" t="s">
        <v>174</v>
      </c>
      <c r="G86" s="273"/>
      <c r="H86" s="273"/>
      <c r="I86" s="273"/>
      <c r="J86" s="273"/>
      <c r="K86" s="273"/>
      <c r="L86" s="273"/>
      <c r="M86" s="277"/>
      <c r="N86" s="259" t="s">
        <v>67</v>
      </c>
      <c r="O86" s="262" t="s">
        <v>68</v>
      </c>
      <c r="P86" s="58"/>
      <c r="Q86" s="259" t="s">
        <v>67</v>
      </c>
      <c r="R86" s="264" t="s">
        <v>69</v>
      </c>
      <c r="U86" s="168" t="s">
        <v>31</v>
      </c>
      <c r="V86" s="169">
        <v>200</v>
      </c>
      <c r="W86" s="169">
        <v>100</v>
      </c>
      <c r="X86" s="167"/>
      <c r="Y86" s="169">
        <v>198</v>
      </c>
      <c r="Z86" s="167"/>
    </row>
    <row r="87" spans="1:26" ht="16" x14ac:dyDescent="0.2">
      <c r="A87" s="52" t="s">
        <v>2</v>
      </c>
      <c r="B87" s="51">
        <v>7</v>
      </c>
      <c r="C87" s="51" t="s">
        <v>70</v>
      </c>
      <c r="D87" s="257"/>
      <c r="E87" s="266" t="s">
        <v>71</v>
      </c>
      <c r="F87" s="267"/>
      <c r="G87" s="268"/>
      <c r="H87" s="57" t="s">
        <v>65</v>
      </c>
      <c r="I87" s="269" t="s">
        <v>175</v>
      </c>
      <c r="J87" s="270"/>
      <c r="K87" s="270"/>
      <c r="L87" s="270"/>
      <c r="M87" s="271"/>
      <c r="N87" s="260"/>
      <c r="O87" s="262"/>
      <c r="P87" s="58"/>
      <c r="Q87" s="260"/>
      <c r="R87" s="264"/>
    </row>
    <row r="88" spans="1:26" ht="16" x14ac:dyDescent="0.2">
      <c r="A88" s="52" t="s">
        <v>3</v>
      </c>
      <c r="B88" s="51">
        <v>8</v>
      </c>
      <c r="C88" s="51" t="s">
        <v>74</v>
      </c>
      <c r="D88" s="257"/>
      <c r="E88" s="57" t="s">
        <v>65</v>
      </c>
      <c r="F88" s="269" t="s">
        <v>176</v>
      </c>
      <c r="G88" s="270"/>
      <c r="H88" s="270"/>
      <c r="I88" s="270"/>
      <c r="J88" s="270"/>
      <c r="K88" s="270"/>
      <c r="L88" s="270"/>
      <c r="M88" s="271"/>
      <c r="N88" s="260"/>
      <c r="O88" s="262"/>
      <c r="P88" s="58"/>
      <c r="Q88" s="260"/>
      <c r="R88" s="264"/>
    </row>
    <row r="89" spans="1:26" ht="16" x14ac:dyDescent="0.2">
      <c r="A89" s="52" t="s">
        <v>4</v>
      </c>
      <c r="B89" s="51">
        <v>10</v>
      </c>
      <c r="C89" s="51" t="s">
        <v>63</v>
      </c>
      <c r="D89" s="257"/>
      <c r="E89" s="149" t="s">
        <v>65</v>
      </c>
      <c r="F89" s="272" t="s">
        <v>66</v>
      </c>
      <c r="G89" s="273"/>
      <c r="H89" s="273"/>
      <c r="I89" s="273"/>
      <c r="J89" s="273"/>
      <c r="K89" s="273"/>
      <c r="L89" s="273"/>
      <c r="M89" s="277"/>
      <c r="N89" s="260"/>
      <c r="O89" s="262"/>
      <c r="P89" s="58"/>
      <c r="Q89" s="260"/>
      <c r="R89" s="264"/>
    </row>
    <row r="90" spans="1:26" ht="16" x14ac:dyDescent="0.2">
      <c r="A90" s="59" t="s">
        <v>5</v>
      </c>
      <c r="B90" s="60">
        <v>5</v>
      </c>
      <c r="C90" s="60" t="s">
        <v>70</v>
      </c>
      <c r="D90" s="258"/>
      <c r="E90" s="274" t="s">
        <v>71</v>
      </c>
      <c r="F90" s="275"/>
      <c r="G90" s="276"/>
      <c r="H90" s="57" t="s">
        <v>65</v>
      </c>
      <c r="I90" s="269" t="s">
        <v>177</v>
      </c>
      <c r="J90" s="270"/>
      <c r="K90" s="270"/>
      <c r="L90" s="270"/>
      <c r="M90" s="271"/>
      <c r="N90" s="261"/>
      <c r="O90" s="263"/>
      <c r="P90" s="61"/>
      <c r="Q90" s="261"/>
      <c r="R90" s="265"/>
    </row>
    <row r="92" spans="1:26" x14ac:dyDescent="0.2">
      <c r="A92" s="153" t="s">
        <v>178</v>
      </c>
      <c r="B92" s="153"/>
      <c r="C92" s="153"/>
      <c r="D92" s="154"/>
      <c r="E92" s="154"/>
      <c r="F92" s="154"/>
    </row>
    <row r="93" spans="1:26" x14ac:dyDescent="0.2">
      <c r="A93" s="153"/>
      <c r="B93" s="153" t="s">
        <v>132</v>
      </c>
      <c r="C93" s="153"/>
      <c r="D93" s="154" t="s">
        <v>133</v>
      </c>
      <c r="E93" s="154" t="s">
        <v>134</v>
      </c>
      <c r="F93" s="154" t="s">
        <v>135</v>
      </c>
    </row>
    <row r="94" spans="1:26" x14ac:dyDescent="0.2">
      <c r="A94" s="153" t="s">
        <v>95</v>
      </c>
      <c r="B94" s="155">
        <v>110</v>
      </c>
      <c r="C94" s="153"/>
      <c r="D94" s="154">
        <v>14</v>
      </c>
      <c r="E94" s="154">
        <v>107</v>
      </c>
      <c r="F94" s="154">
        <v>0</v>
      </c>
    </row>
    <row r="95" spans="1:26" x14ac:dyDescent="0.2">
      <c r="A95" s="153" t="s">
        <v>3</v>
      </c>
      <c r="B95" s="153">
        <f>D95+E95+F95</f>
        <v>140</v>
      </c>
      <c r="C95" s="153"/>
      <c r="D95" s="154">
        <v>14</v>
      </c>
      <c r="E95" s="154">
        <v>96</v>
      </c>
      <c r="F95" s="154">
        <v>30</v>
      </c>
    </row>
    <row r="96" spans="1:26" ht="47" x14ac:dyDescent="0.55000000000000004">
      <c r="A96" s="153" t="s">
        <v>5</v>
      </c>
      <c r="B96" s="153">
        <f>D96+E96</f>
        <v>153</v>
      </c>
      <c r="C96" s="153"/>
      <c r="D96" s="154">
        <v>14</v>
      </c>
      <c r="E96" s="154">
        <v>139</v>
      </c>
      <c r="F96" s="154">
        <v>0</v>
      </c>
      <c r="H96" s="161" t="s">
        <v>179</v>
      </c>
    </row>
    <row r="98" spans="1:18" ht="26" x14ac:dyDescent="0.3">
      <c r="A98" s="254" t="s">
        <v>45</v>
      </c>
      <c r="B98" s="255"/>
      <c r="C98" s="255"/>
      <c r="D98" s="255"/>
      <c r="E98" s="255"/>
      <c r="F98" s="255"/>
      <c r="G98" s="255"/>
      <c r="H98" s="255"/>
      <c r="I98" s="255"/>
      <c r="J98" s="255"/>
      <c r="K98" s="255"/>
      <c r="L98" s="255"/>
      <c r="M98" s="255"/>
      <c r="N98" s="255"/>
      <c r="O98" s="255"/>
      <c r="P98" s="255"/>
      <c r="Q98" s="255"/>
      <c r="R98" s="256"/>
    </row>
    <row r="99" spans="1:18" ht="16" x14ac:dyDescent="0.2">
      <c r="A99" s="53" t="s">
        <v>48</v>
      </c>
      <c r="B99" s="54" t="s">
        <v>49</v>
      </c>
      <c r="C99" s="54" t="s">
        <v>50</v>
      </c>
      <c r="D99" s="55" t="s">
        <v>51</v>
      </c>
      <c r="E99" s="56" t="s">
        <v>52</v>
      </c>
      <c r="F99" s="56" t="s">
        <v>53</v>
      </c>
      <c r="G99" s="55" t="s">
        <v>54</v>
      </c>
      <c r="H99" s="56" t="s">
        <v>55</v>
      </c>
      <c r="I99" s="56" t="s">
        <v>56</v>
      </c>
      <c r="J99" s="55" t="s">
        <v>57</v>
      </c>
      <c r="K99" s="56" t="s">
        <v>58</v>
      </c>
      <c r="L99" s="56" t="s">
        <v>59</v>
      </c>
      <c r="M99" s="55" t="s">
        <v>60</v>
      </c>
      <c r="N99" s="56" t="s">
        <v>61</v>
      </c>
      <c r="O99" s="56" t="s">
        <v>62</v>
      </c>
      <c r="P99" s="55" t="s">
        <v>51</v>
      </c>
      <c r="Q99" s="56" t="s">
        <v>52</v>
      </c>
      <c r="R99" s="56" t="s">
        <v>53</v>
      </c>
    </row>
    <row r="100" spans="1:18" ht="16" x14ac:dyDescent="0.2">
      <c r="A100" s="52" t="s">
        <v>1</v>
      </c>
      <c r="B100" s="51">
        <v>10</v>
      </c>
      <c r="C100" s="51" t="s">
        <v>63</v>
      </c>
      <c r="D100" s="257" t="s">
        <v>64</v>
      </c>
      <c r="E100" s="149" t="s">
        <v>76</v>
      </c>
      <c r="F100" s="150"/>
      <c r="G100" s="151" t="s">
        <v>77</v>
      </c>
      <c r="H100" s="151"/>
      <c r="I100" s="151"/>
      <c r="J100" s="151" t="s">
        <v>78</v>
      </c>
      <c r="K100" s="151"/>
      <c r="L100" s="151"/>
      <c r="M100" s="152"/>
      <c r="N100" s="259" t="s">
        <v>67</v>
      </c>
      <c r="O100" s="262" t="s">
        <v>68</v>
      </c>
      <c r="P100" s="58"/>
      <c r="Q100" s="259" t="s">
        <v>67</v>
      </c>
      <c r="R100" s="264" t="s">
        <v>69</v>
      </c>
    </row>
    <row r="101" spans="1:18" ht="16" x14ac:dyDescent="0.2">
      <c r="A101" s="52" t="s">
        <v>95</v>
      </c>
      <c r="B101" s="51">
        <v>7</v>
      </c>
      <c r="C101" s="51" t="s">
        <v>70</v>
      </c>
      <c r="D101" s="257"/>
      <c r="E101" s="266"/>
      <c r="F101" s="267"/>
      <c r="G101" s="268"/>
      <c r="H101" s="57"/>
      <c r="I101" s="269"/>
      <c r="J101" s="270"/>
      <c r="K101" s="270"/>
      <c r="L101" s="270"/>
      <c r="M101" s="271"/>
      <c r="N101" s="260"/>
      <c r="O101" s="262"/>
      <c r="P101" s="58"/>
      <c r="Q101" s="260"/>
      <c r="R101" s="264"/>
    </row>
    <row r="102" spans="1:18" ht="16" x14ac:dyDescent="0.2">
      <c r="A102" s="52" t="s">
        <v>3</v>
      </c>
      <c r="B102" s="51">
        <v>8</v>
      </c>
      <c r="C102" s="51" t="s">
        <v>74</v>
      </c>
      <c r="D102" s="257"/>
      <c r="E102" s="57" t="s">
        <v>155</v>
      </c>
      <c r="F102" s="269" t="s">
        <v>66</v>
      </c>
      <c r="G102" s="270"/>
      <c r="H102" s="270"/>
      <c r="I102" s="148" t="s">
        <v>180</v>
      </c>
      <c r="J102" s="71"/>
      <c r="K102" s="71"/>
      <c r="L102" s="71"/>
      <c r="M102" s="72"/>
      <c r="N102" s="260"/>
      <c r="O102" s="262"/>
      <c r="P102" s="58"/>
      <c r="Q102" s="260"/>
      <c r="R102" s="264"/>
    </row>
    <row r="103" spans="1:18" ht="16" x14ac:dyDescent="0.2">
      <c r="A103" s="52" t="s">
        <v>33</v>
      </c>
      <c r="B103" s="51">
        <v>10</v>
      </c>
      <c r="C103" s="51" t="s">
        <v>63</v>
      </c>
      <c r="D103" s="257"/>
      <c r="E103" s="149" t="s">
        <v>80</v>
      </c>
      <c r="F103" s="272" t="s">
        <v>66</v>
      </c>
      <c r="G103" s="273"/>
      <c r="H103" s="273"/>
      <c r="I103" s="273"/>
      <c r="J103" s="273"/>
      <c r="K103" s="273"/>
      <c r="L103" s="273"/>
      <c r="M103" s="152" t="s">
        <v>81</v>
      </c>
      <c r="N103" s="260"/>
      <c r="O103" s="262"/>
      <c r="P103" s="58"/>
      <c r="Q103" s="260"/>
      <c r="R103" s="264"/>
    </row>
    <row r="104" spans="1:18" ht="16" x14ac:dyDescent="0.2">
      <c r="A104" s="59" t="s">
        <v>5</v>
      </c>
      <c r="B104" s="60">
        <v>5</v>
      </c>
      <c r="C104" s="60" t="s">
        <v>70</v>
      </c>
      <c r="D104" s="258"/>
      <c r="E104" s="274"/>
      <c r="F104" s="275"/>
      <c r="G104" s="276"/>
      <c r="H104" s="57"/>
      <c r="I104" s="269"/>
      <c r="J104" s="270"/>
      <c r="K104" s="270"/>
      <c r="L104" s="270"/>
      <c r="M104" s="271"/>
      <c r="N104" s="261"/>
      <c r="O104" s="263"/>
      <c r="P104" s="61"/>
      <c r="Q104" s="261"/>
      <c r="R104" s="265"/>
    </row>
    <row r="105" spans="1:18" x14ac:dyDescent="0.2">
      <c r="A105" s="2" t="s">
        <v>86</v>
      </c>
      <c r="D105" s="22">
        <v>31</v>
      </c>
      <c r="E105" s="120">
        <v>30</v>
      </c>
      <c r="F105" s="120">
        <v>31</v>
      </c>
      <c r="G105" s="121">
        <v>31</v>
      </c>
      <c r="H105" s="121">
        <v>28</v>
      </c>
      <c r="I105" s="121">
        <v>31</v>
      </c>
      <c r="J105" s="121">
        <v>30</v>
      </c>
      <c r="K105" s="121">
        <v>31</v>
      </c>
      <c r="L105" s="121">
        <v>30</v>
      </c>
      <c r="M105" s="120">
        <v>31</v>
      </c>
      <c r="N105" s="120">
        <v>31</v>
      </c>
      <c r="O105" s="120">
        <v>30</v>
      </c>
      <c r="P105" s="120">
        <v>31</v>
      </c>
      <c r="Q105" s="120">
        <v>30</v>
      </c>
      <c r="R105" s="120">
        <v>31</v>
      </c>
    </row>
    <row r="108" spans="1:18" x14ac:dyDescent="0.2">
      <c r="A108" s="153" t="s">
        <v>164</v>
      </c>
      <c r="B108" s="153"/>
      <c r="C108" s="153"/>
      <c r="D108" s="154"/>
      <c r="E108" s="154"/>
      <c r="F108" s="154"/>
    </row>
    <row r="109" spans="1:18" x14ac:dyDescent="0.2">
      <c r="A109" s="153"/>
      <c r="B109" s="153" t="s">
        <v>132</v>
      </c>
      <c r="C109" s="153"/>
      <c r="D109" s="154" t="s">
        <v>133</v>
      </c>
      <c r="E109" s="154" t="s">
        <v>134</v>
      </c>
      <c r="F109" s="154" t="s">
        <v>135</v>
      </c>
    </row>
    <row r="110" spans="1:18" x14ac:dyDescent="0.2">
      <c r="A110" s="153" t="s">
        <v>95</v>
      </c>
      <c r="B110" s="155">
        <f>D110+E110+F110</f>
        <v>154</v>
      </c>
      <c r="C110" s="153"/>
      <c r="D110" s="154">
        <v>42</v>
      </c>
      <c r="E110" s="154">
        <v>112</v>
      </c>
      <c r="F110" s="154">
        <v>0</v>
      </c>
    </row>
    <row r="111" spans="1:18" x14ac:dyDescent="0.2">
      <c r="A111" s="153" t="s">
        <v>3</v>
      </c>
      <c r="B111" s="153">
        <f>D111+E111+F111</f>
        <v>171</v>
      </c>
      <c r="C111" s="153"/>
      <c r="D111" s="154">
        <v>42</v>
      </c>
      <c r="E111" s="154">
        <v>99</v>
      </c>
      <c r="F111" s="154">
        <v>30</v>
      </c>
    </row>
    <row r="112" spans="1:18" x14ac:dyDescent="0.2">
      <c r="A112" s="153" t="s">
        <v>5</v>
      </c>
      <c r="B112" s="153">
        <f>D112+E112</f>
        <v>181</v>
      </c>
      <c r="C112" s="153"/>
      <c r="D112" s="154">
        <v>42</v>
      </c>
      <c r="E112" s="154">
        <v>139</v>
      </c>
      <c r="F112" s="154">
        <v>0</v>
      </c>
    </row>
  </sheetData>
  <sortState xmlns:xlrd2="http://schemas.microsoft.com/office/spreadsheetml/2017/richdata2" ref="V60:W70">
    <sortCondition ref="W60:W70"/>
  </sortState>
  <mergeCells count="90">
    <mergeCell ref="Y38:Z38"/>
    <mergeCell ref="X49:Z49"/>
    <mergeCell ref="A84:R84"/>
    <mergeCell ref="D86:D90"/>
    <mergeCell ref="F86:M86"/>
    <mergeCell ref="N86:N90"/>
    <mergeCell ref="O86:O90"/>
    <mergeCell ref="Q86:Q90"/>
    <mergeCell ref="R86:R90"/>
    <mergeCell ref="E87:G87"/>
    <mergeCell ref="I87:M87"/>
    <mergeCell ref="F88:M88"/>
    <mergeCell ref="F89:M89"/>
    <mergeCell ref="E90:G90"/>
    <mergeCell ref="I90:M90"/>
    <mergeCell ref="N75:N79"/>
    <mergeCell ref="O75:O79"/>
    <mergeCell ref="Q75:Q79"/>
    <mergeCell ref="R75:R79"/>
    <mergeCell ref="E76:G76"/>
    <mergeCell ref="I76:M76"/>
    <mergeCell ref="F77:M77"/>
    <mergeCell ref="F78:M78"/>
    <mergeCell ref="E79:G79"/>
    <mergeCell ref="I79:M79"/>
    <mergeCell ref="B11:S11"/>
    <mergeCell ref="E13:E17"/>
    <mergeCell ref="O13:O17"/>
    <mergeCell ref="P13:P17"/>
    <mergeCell ref="R13:R17"/>
    <mergeCell ref="S13:S17"/>
    <mergeCell ref="F14:H14"/>
    <mergeCell ref="J14:N14"/>
    <mergeCell ref="F17:H17"/>
    <mergeCell ref="J17:N17"/>
    <mergeCell ref="G16:M16"/>
    <mergeCell ref="R4:R8"/>
    <mergeCell ref="S4:S8"/>
    <mergeCell ref="B2:S2"/>
    <mergeCell ref="F5:H5"/>
    <mergeCell ref="F8:H8"/>
    <mergeCell ref="O4:O8"/>
    <mergeCell ref="G4:N4"/>
    <mergeCell ref="G6:N6"/>
    <mergeCell ref="E4:E8"/>
    <mergeCell ref="P4:P8"/>
    <mergeCell ref="G7:N7"/>
    <mergeCell ref="J5:N5"/>
    <mergeCell ref="J8:N8"/>
    <mergeCell ref="A35:R35"/>
    <mergeCell ref="D37:D41"/>
    <mergeCell ref="N37:N41"/>
    <mergeCell ref="O37:O41"/>
    <mergeCell ref="Q37:Q41"/>
    <mergeCell ref="R37:R41"/>
    <mergeCell ref="E38:G38"/>
    <mergeCell ref="F40:L40"/>
    <mergeCell ref="E41:G41"/>
    <mergeCell ref="I38:K38"/>
    <mergeCell ref="I41:L41"/>
    <mergeCell ref="F59:H59"/>
    <mergeCell ref="A55:R55"/>
    <mergeCell ref="D57:D61"/>
    <mergeCell ref="F57:M57"/>
    <mergeCell ref="O57:O61"/>
    <mergeCell ref="Q57:Q61"/>
    <mergeCell ref="R57:R61"/>
    <mergeCell ref="E58:G58"/>
    <mergeCell ref="F60:M60"/>
    <mergeCell ref="E61:G61"/>
    <mergeCell ref="I61:M61"/>
    <mergeCell ref="J59:M59"/>
    <mergeCell ref="L58:M58"/>
    <mergeCell ref="N57:N60"/>
    <mergeCell ref="U73:Z73"/>
    <mergeCell ref="A98:R98"/>
    <mergeCell ref="D100:D104"/>
    <mergeCell ref="N100:N104"/>
    <mergeCell ref="O100:O104"/>
    <mergeCell ref="Q100:Q104"/>
    <mergeCell ref="R100:R104"/>
    <mergeCell ref="E101:G101"/>
    <mergeCell ref="I101:M101"/>
    <mergeCell ref="F103:L103"/>
    <mergeCell ref="E104:G104"/>
    <mergeCell ref="I104:M104"/>
    <mergeCell ref="F102:H102"/>
    <mergeCell ref="A73:R73"/>
    <mergeCell ref="D75:D79"/>
    <mergeCell ref="F75:M75"/>
  </mergeCells>
  <phoneticPr fontId="14" type="noConversion"/>
  <conditionalFormatting sqref="Z4:Z14">
    <cfRule type="cellIs" dxfId="16" priority="5" operator="greaterThan">
      <formula>153</formula>
    </cfRule>
  </conditionalFormatting>
  <conditionalFormatting sqref="AA4:AA14">
    <cfRule type="cellIs" dxfId="15" priority="4" operator="greaterThan">
      <formula>243</formula>
    </cfRule>
  </conditionalFormatting>
  <conditionalFormatting sqref="AB4:AB14">
    <cfRule type="cellIs" dxfId="14" priority="3" operator="greaterThan">
      <formula>243</formula>
    </cfRule>
  </conditionalFormatting>
  <conditionalFormatting sqref="AC4:AC14">
    <cfRule type="cellIs" dxfId="13" priority="2" operator="greaterThan">
      <formula>166</formula>
    </cfRule>
  </conditionalFormatting>
  <conditionalFormatting sqref="W60:W70">
    <cfRule type="cellIs" dxfId="12" priority="1" operator="greaterThan">
      <formula>153</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AC102-58F7-E843-8831-FC74CE1BCBFB}">
  <dimension ref="A1"/>
  <sheetViews>
    <sheetView workbookViewId="0"/>
  </sheetViews>
  <sheetFormatPr baseColWidth="10" defaultRowHeight="15"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98C85-0D7A-AB46-9700-B9143036BCE4}">
  <dimension ref="A1"/>
  <sheetViews>
    <sheetView zoomScale="90" zoomScaleNormal="90" workbookViewId="0"/>
  </sheetViews>
  <sheetFormatPr baseColWidth="10" defaultRowHeight="1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803DD-1883-4D8E-93A6-C16A376F9530}">
  <dimension ref="A1:P12"/>
  <sheetViews>
    <sheetView workbookViewId="0">
      <selection activeCell="P1" sqref="P1"/>
    </sheetView>
  </sheetViews>
  <sheetFormatPr baseColWidth="10" defaultColWidth="8.83203125" defaultRowHeight="15" x14ac:dyDescent="0.2"/>
  <sheetData>
    <row r="1" spans="1:16" ht="48" x14ac:dyDescent="0.2">
      <c r="A1" t="s">
        <v>0</v>
      </c>
      <c r="C1" s="177" t="s">
        <v>1</v>
      </c>
      <c r="D1" s="68" t="s">
        <v>2</v>
      </c>
      <c r="E1" s="68" t="s">
        <v>3</v>
      </c>
      <c r="F1" s="68" t="s">
        <v>4</v>
      </c>
      <c r="G1" s="69" t="s">
        <v>5</v>
      </c>
    </row>
    <row r="2" spans="1:16" x14ac:dyDescent="0.2">
      <c r="A2" s="80" t="s">
        <v>15</v>
      </c>
      <c r="B2" s="81" t="s">
        <v>16</v>
      </c>
      <c r="C2" s="178">
        <v>254</v>
      </c>
      <c r="D2" s="172">
        <v>152</v>
      </c>
      <c r="E2" s="172">
        <v>145</v>
      </c>
      <c r="F2" s="172">
        <v>256</v>
      </c>
      <c r="G2" s="172">
        <v>216</v>
      </c>
      <c r="L2" t="s">
        <v>181</v>
      </c>
      <c r="M2" t="s">
        <v>2</v>
      </c>
      <c r="N2" t="s">
        <v>3</v>
      </c>
      <c r="O2" t="s">
        <v>33</v>
      </c>
      <c r="P2" t="s">
        <v>34</v>
      </c>
    </row>
    <row r="3" spans="1:16" x14ac:dyDescent="0.2">
      <c r="A3" s="203" t="s">
        <v>8</v>
      </c>
      <c r="B3" s="204" t="s">
        <v>9</v>
      </c>
      <c r="C3" s="178">
        <v>242</v>
      </c>
      <c r="D3" s="172">
        <v>142</v>
      </c>
      <c r="E3" s="174"/>
      <c r="F3" s="201">
        <v>232</v>
      </c>
      <c r="G3" s="172">
        <v>167</v>
      </c>
      <c r="L3" t="s">
        <v>24</v>
      </c>
      <c r="M3" s="237">
        <f>D7</f>
        <v>138</v>
      </c>
      <c r="N3" s="237">
        <f>E7</f>
        <v>137</v>
      </c>
      <c r="O3" s="237">
        <f>F7</f>
        <v>0</v>
      </c>
      <c r="P3" s="237">
        <f>G7</f>
        <v>190</v>
      </c>
    </row>
    <row r="4" spans="1:16" x14ac:dyDescent="0.2">
      <c r="A4" s="73" t="s">
        <v>19</v>
      </c>
      <c r="B4" s="74" t="s">
        <v>20</v>
      </c>
      <c r="C4" s="178">
        <v>236</v>
      </c>
      <c r="D4" s="175">
        <v>143</v>
      </c>
      <c r="E4" s="176"/>
      <c r="F4" s="175">
        <v>238</v>
      </c>
      <c r="G4" s="175">
        <v>194</v>
      </c>
      <c r="L4" t="s">
        <v>9</v>
      </c>
      <c r="M4" s="237">
        <f>D3</f>
        <v>142</v>
      </c>
      <c r="N4" s="237">
        <f>E3</f>
        <v>0</v>
      </c>
      <c r="O4" s="237">
        <f>F3</f>
        <v>232</v>
      </c>
      <c r="P4" s="237">
        <f>G3</f>
        <v>167</v>
      </c>
    </row>
    <row r="5" spans="1:16" x14ac:dyDescent="0.2">
      <c r="A5" s="73" t="s">
        <v>21</v>
      </c>
      <c r="B5" s="74" t="s">
        <v>22</v>
      </c>
      <c r="C5" s="178">
        <v>278</v>
      </c>
      <c r="D5" s="175">
        <v>126</v>
      </c>
      <c r="E5" s="175">
        <v>118</v>
      </c>
      <c r="F5" s="175">
        <v>223</v>
      </c>
      <c r="G5" s="175">
        <v>180</v>
      </c>
      <c r="L5" t="s">
        <v>18</v>
      </c>
      <c r="M5" s="237">
        <f>D8</f>
        <v>124</v>
      </c>
      <c r="N5" s="237">
        <f>E8</f>
        <v>112</v>
      </c>
      <c r="O5" s="237">
        <f>F8</f>
        <v>212</v>
      </c>
      <c r="P5" s="237">
        <f>G8</f>
        <v>156</v>
      </c>
    </row>
    <row r="6" spans="1:16" x14ac:dyDescent="0.2">
      <c r="A6" s="203" t="s">
        <v>13</v>
      </c>
      <c r="B6" s="204" t="s">
        <v>14</v>
      </c>
      <c r="C6" s="178"/>
      <c r="D6" s="201">
        <v>149</v>
      </c>
      <c r="E6" s="201">
        <v>138</v>
      </c>
      <c r="F6" s="176"/>
      <c r="G6" s="90">
        <v>181</v>
      </c>
    </row>
    <row r="7" spans="1:16" x14ac:dyDescent="0.2">
      <c r="A7" s="80" t="s">
        <v>23</v>
      </c>
      <c r="B7" s="81" t="s">
        <v>24</v>
      </c>
      <c r="C7" s="178"/>
      <c r="D7" s="172">
        <v>138</v>
      </c>
      <c r="E7" s="172">
        <v>137</v>
      </c>
      <c r="F7" s="176"/>
      <c r="G7" s="97">
        <v>190</v>
      </c>
    </row>
    <row r="8" spans="1:16" x14ac:dyDescent="0.2">
      <c r="A8" s="203" t="s">
        <v>17</v>
      </c>
      <c r="B8" s="204" t="s">
        <v>18</v>
      </c>
      <c r="C8" s="178">
        <v>244</v>
      </c>
      <c r="D8" s="172">
        <v>124</v>
      </c>
      <c r="E8" s="172">
        <v>112</v>
      </c>
      <c r="F8" s="172">
        <v>212</v>
      </c>
      <c r="G8" s="201">
        <v>156</v>
      </c>
    </row>
    <row r="9" spans="1:16" x14ac:dyDescent="0.2">
      <c r="A9" s="73" t="s">
        <v>25</v>
      </c>
      <c r="B9" s="74" t="s">
        <v>26</v>
      </c>
      <c r="C9" s="178">
        <v>259</v>
      </c>
      <c r="D9" s="175">
        <v>152</v>
      </c>
      <c r="E9" s="175">
        <v>144</v>
      </c>
      <c r="F9" s="175">
        <v>253</v>
      </c>
      <c r="G9" s="175">
        <v>186</v>
      </c>
    </row>
    <row r="10" spans="1:16" x14ac:dyDescent="0.2">
      <c r="A10" s="80" t="s">
        <v>27</v>
      </c>
      <c r="B10" s="81" t="s">
        <v>28</v>
      </c>
      <c r="C10" s="178"/>
      <c r="D10" s="172">
        <v>154</v>
      </c>
      <c r="E10" s="172">
        <v>141</v>
      </c>
      <c r="F10" s="173"/>
      <c r="G10" s="172">
        <v>181</v>
      </c>
    </row>
    <row r="11" spans="1:16" x14ac:dyDescent="0.2">
      <c r="A11" s="80" t="s">
        <v>29</v>
      </c>
      <c r="B11" s="81" t="s">
        <v>30</v>
      </c>
      <c r="C11" s="178"/>
      <c r="D11" s="172">
        <v>155</v>
      </c>
      <c r="E11" s="172">
        <v>153</v>
      </c>
      <c r="F11" s="173"/>
      <c r="G11" s="172">
        <v>213</v>
      </c>
    </row>
    <row r="12" spans="1:16" x14ac:dyDescent="0.2">
      <c r="A12" s="77" t="s">
        <v>31</v>
      </c>
      <c r="B12" s="78" t="s">
        <v>18</v>
      </c>
      <c r="C12" s="179">
        <v>214</v>
      </c>
      <c r="D12" s="92">
        <v>114</v>
      </c>
      <c r="E12" s="171"/>
      <c r="F12" s="92">
        <v>212</v>
      </c>
      <c r="G12" s="171"/>
    </row>
  </sheetData>
  <conditionalFormatting sqref="D2:D12">
    <cfRule type="cellIs" dxfId="11" priority="4" operator="greaterThan">
      <formula>153</formula>
    </cfRule>
  </conditionalFormatting>
  <conditionalFormatting sqref="E2:E12">
    <cfRule type="cellIs" dxfId="10" priority="3" operator="greaterThan">
      <formula>243</formula>
    </cfRule>
  </conditionalFormatting>
  <conditionalFormatting sqref="F2:F12">
    <cfRule type="cellIs" dxfId="9" priority="2" operator="greaterThan">
      <formula>243</formula>
    </cfRule>
  </conditionalFormatting>
  <conditionalFormatting sqref="G2:G12">
    <cfRule type="cellIs" dxfId="8" priority="1" operator="greaterThan">
      <formula>166</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2ABCD-A97B-3948-A02F-44E3EA896C2F}">
  <dimension ref="A1:AI116"/>
  <sheetViews>
    <sheetView zoomScale="109" workbookViewId="0">
      <selection activeCell="B16" sqref="B16"/>
    </sheetView>
  </sheetViews>
  <sheetFormatPr baseColWidth="10" defaultColWidth="11.5" defaultRowHeight="15" x14ac:dyDescent="0.2"/>
  <cols>
    <col min="1" max="1" width="47" customWidth="1"/>
    <col min="2" max="2" width="16.6640625" customWidth="1"/>
    <col min="3" max="3" width="28.1640625" customWidth="1"/>
    <col min="4" max="4" width="29.33203125" customWidth="1"/>
    <col min="5" max="5" width="31.6640625" customWidth="1"/>
    <col min="6" max="6" width="18.83203125" customWidth="1"/>
    <col min="7" max="7" width="27.6640625" bestFit="1" customWidth="1"/>
    <col min="8" max="8" width="11" bestFit="1" customWidth="1"/>
    <col min="9" max="9" width="17.5" bestFit="1" customWidth="1"/>
    <col min="11" max="11" width="19.83203125" bestFit="1" customWidth="1"/>
    <col min="17" max="17" width="26.33203125" bestFit="1" customWidth="1"/>
    <col min="25" max="25" width="42.1640625" bestFit="1" customWidth="1"/>
    <col min="26" max="26" width="12.1640625" bestFit="1" customWidth="1"/>
    <col min="27" max="27" width="15" bestFit="1" customWidth="1"/>
    <col min="33" max="33" width="15" bestFit="1" customWidth="1"/>
  </cols>
  <sheetData>
    <row r="1" spans="1:9" x14ac:dyDescent="0.2">
      <c r="A1" t="s">
        <v>182</v>
      </c>
    </row>
    <row r="3" spans="1:9" x14ac:dyDescent="0.2">
      <c r="A3" s="84" t="s">
        <v>183</v>
      </c>
      <c r="B3" s="84" t="s">
        <v>135</v>
      </c>
      <c r="C3" s="84" t="s">
        <v>111</v>
      </c>
      <c r="G3" s="2"/>
      <c r="H3" s="2"/>
    </row>
    <row r="4" spans="1:9" x14ac:dyDescent="0.2">
      <c r="A4" s="84" t="s">
        <v>1</v>
      </c>
      <c r="B4" s="84">
        <v>10</v>
      </c>
      <c r="C4" s="84">
        <v>1</v>
      </c>
      <c r="G4" s="2" t="s">
        <v>14</v>
      </c>
      <c r="H4" s="2" t="s">
        <v>2</v>
      </c>
    </row>
    <row r="5" spans="1:9" x14ac:dyDescent="0.2">
      <c r="A5" s="84" t="s">
        <v>2</v>
      </c>
      <c r="B5" s="84">
        <v>7</v>
      </c>
      <c r="C5" s="84">
        <v>2</v>
      </c>
      <c r="G5" s="2"/>
      <c r="H5" s="2" t="s">
        <v>3</v>
      </c>
    </row>
    <row r="6" spans="1:9" x14ac:dyDescent="0.2">
      <c r="A6" s="84" t="s">
        <v>3</v>
      </c>
      <c r="B6" s="84">
        <v>8</v>
      </c>
      <c r="C6" s="84">
        <v>5</v>
      </c>
      <c r="G6" s="2"/>
      <c r="H6" s="2"/>
    </row>
    <row r="7" spans="1:9" x14ac:dyDescent="0.2">
      <c r="A7" s="84" t="s">
        <v>33</v>
      </c>
      <c r="B7" s="84">
        <v>10</v>
      </c>
      <c r="C7" s="84">
        <v>1</v>
      </c>
      <c r="G7" s="2" t="s">
        <v>9</v>
      </c>
      <c r="H7" s="2" t="s">
        <v>33</v>
      </c>
    </row>
    <row r="8" spans="1:9" x14ac:dyDescent="0.2">
      <c r="A8" s="84" t="s">
        <v>5</v>
      </c>
      <c r="B8" s="84">
        <v>5</v>
      </c>
      <c r="C8" s="84">
        <v>2</v>
      </c>
      <c r="G8" s="2"/>
      <c r="H8" s="2"/>
    </row>
    <row r="9" spans="1:9" x14ac:dyDescent="0.2">
      <c r="G9" s="2" t="s">
        <v>18</v>
      </c>
      <c r="H9" s="2" t="s">
        <v>5</v>
      </c>
    </row>
    <row r="10" spans="1:9" x14ac:dyDescent="0.2">
      <c r="G10" s="2"/>
      <c r="H10" s="2"/>
    </row>
    <row r="11" spans="1:9" x14ac:dyDescent="0.2">
      <c r="A11" t="s">
        <v>184</v>
      </c>
      <c r="D11" t="s">
        <v>185</v>
      </c>
      <c r="G11" t="s">
        <v>109</v>
      </c>
      <c r="I11" t="s">
        <v>186</v>
      </c>
    </row>
    <row r="13" spans="1:9" x14ac:dyDescent="0.2">
      <c r="A13" s="84" t="s">
        <v>187</v>
      </c>
      <c r="B13" s="84" t="s">
        <v>111</v>
      </c>
      <c r="D13" s="84" t="s">
        <v>110</v>
      </c>
      <c r="E13" s="84" t="s">
        <v>111</v>
      </c>
      <c r="G13" s="84" t="s">
        <v>110</v>
      </c>
      <c r="H13" s="84" t="s">
        <v>111</v>
      </c>
    </row>
    <row r="14" spans="1:9" x14ac:dyDescent="0.2">
      <c r="A14" s="84"/>
      <c r="B14" s="84"/>
      <c r="D14" s="84"/>
      <c r="E14" s="84"/>
      <c r="G14" s="84"/>
      <c r="H14" s="84"/>
    </row>
    <row r="15" spans="1:9" x14ac:dyDescent="0.2">
      <c r="A15" s="84" t="s">
        <v>1</v>
      </c>
      <c r="B15" s="84">
        <v>10</v>
      </c>
      <c r="D15" s="84" t="s">
        <v>1</v>
      </c>
      <c r="E15" s="84">
        <v>30</v>
      </c>
      <c r="G15" s="84" t="s">
        <v>1</v>
      </c>
      <c r="H15" s="84">
        <f>B15+E15</f>
        <v>40</v>
      </c>
    </row>
    <row r="16" spans="1:9" x14ac:dyDescent="0.2">
      <c r="A16" s="84" t="s">
        <v>2</v>
      </c>
      <c r="B16" s="84">
        <v>20</v>
      </c>
      <c r="D16" s="84" t="s">
        <v>2</v>
      </c>
      <c r="E16" s="84">
        <v>60</v>
      </c>
      <c r="G16" s="84" t="s">
        <v>2</v>
      </c>
      <c r="H16" s="84">
        <f t="shared" ref="H16:H19" si="0">B16+E16</f>
        <v>80</v>
      </c>
    </row>
    <row r="17" spans="1:34" x14ac:dyDescent="0.2">
      <c r="A17" s="84" t="s">
        <v>3</v>
      </c>
      <c r="B17" s="84">
        <v>50</v>
      </c>
      <c r="D17" s="84" t="s">
        <v>3</v>
      </c>
      <c r="E17" s="84">
        <v>150</v>
      </c>
      <c r="G17" s="84" t="s">
        <v>3</v>
      </c>
      <c r="H17" s="84">
        <f t="shared" si="0"/>
        <v>200</v>
      </c>
    </row>
    <row r="18" spans="1:34" x14ac:dyDescent="0.2">
      <c r="A18" s="84" t="s">
        <v>33</v>
      </c>
      <c r="B18" s="84">
        <v>10</v>
      </c>
      <c r="D18" s="84" t="s">
        <v>33</v>
      </c>
      <c r="E18" s="84">
        <v>30</v>
      </c>
      <c r="G18" s="84" t="s">
        <v>33</v>
      </c>
      <c r="H18" s="84">
        <f t="shared" si="0"/>
        <v>40</v>
      </c>
    </row>
    <row r="19" spans="1:34" x14ac:dyDescent="0.2">
      <c r="A19" s="84" t="s">
        <v>5</v>
      </c>
      <c r="B19" s="84">
        <v>20</v>
      </c>
      <c r="D19" s="84" t="s">
        <v>5</v>
      </c>
      <c r="E19" s="84">
        <v>60</v>
      </c>
      <c r="G19" s="84" t="s">
        <v>5</v>
      </c>
      <c r="H19" s="84">
        <f t="shared" si="0"/>
        <v>80</v>
      </c>
    </row>
    <row r="22" spans="1:34" x14ac:dyDescent="0.2">
      <c r="A22" t="s">
        <v>188</v>
      </c>
    </row>
    <row r="23" spans="1:34" x14ac:dyDescent="0.2">
      <c r="B23" t="s">
        <v>189</v>
      </c>
      <c r="C23" t="s">
        <v>190</v>
      </c>
      <c r="D23" t="s">
        <v>191</v>
      </c>
      <c r="E23" t="s">
        <v>93</v>
      </c>
    </row>
    <row r="24" spans="1:34" ht="16" x14ac:dyDescent="0.2">
      <c r="A24" t="s">
        <v>192</v>
      </c>
      <c r="B24" s="85">
        <v>147340</v>
      </c>
      <c r="C24" s="35">
        <v>2000000</v>
      </c>
      <c r="D24">
        <v>40</v>
      </c>
      <c r="E24" s="85">
        <f>B24*D24+C24</f>
        <v>7893600</v>
      </c>
    </row>
    <row r="25" spans="1:34" s="1" customFormat="1" ht="16" thickBot="1" x14ac:dyDescent="0.25"/>
    <row r="26" spans="1:34" ht="32" thickBot="1" x14ac:dyDescent="0.5">
      <c r="Q26" s="251" t="s">
        <v>193</v>
      </c>
      <c r="R26" s="282"/>
      <c r="S26" s="282"/>
      <c r="T26" s="282"/>
      <c r="U26" s="282"/>
      <c r="V26" s="252"/>
    </row>
    <row r="27" spans="1:34" ht="16" x14ac:dyDescent="0.2">
      <c r="A27" t="s">
        <v>194</v>
      </c>
      <c r="Q27" s="283" t="s">
        <v>195</v>
      </c>
      <c r="R27" s="284"/>
      <c r="S27" s="284"/>
      <c r="T27" s="284"/>
      <c r="U27" s="284"/>
      <c r="V27" s="285"/>
      <c r="Y27" t="s">
        <v>196</v>
      </c>
    </row>
    <row r="28" spans="1:34" ht="32" x14ac:dyDescent="0.2">
      <c r="Q28" s="67" t="s">
        <v>10</v>
      </c>
      <c r="R28" s="99" t="s">
        <v>1</v>
      </c>
      <c r="S28" s="68" t="s">
        <v>2</v>
      </c>
      <c r="T28" s="68" t="s">
        <v>3</v>
      </c>
      <c r="U28" s="68" t="s">
        <v>4</v>
      </c>
      <c r="V28" s="69" t="s">
        <v>5</v>
      </c>
      <c r="W28" s="49" t="s">
        <v>197</v>
      </c>
    </row>
    <row r="29" spans="1:34" ht="26" x14ac:dyDescent="0.3">
      <c r="A29" s="187" t="s">
        <v>142</v>
      </c>
      <c r="Q29" s="93" t="s">
        <v>15</v>
      </c>
      <c r="R29" s="94">
        <v>82050</v>
      </c>
      <c r="S29" s="94">
        <v>39000</v>
      </c>
      <c r="T29" s="94">
        <v>3050</v>
      </c>
      <c r="U29" s="94">
        <v>87600</v>
      </c>
      <c r="V29" s="95">
        <v>7500</v>
      </c>
      <c r="W29" s="83">
        <v>0.86</v>
      </c>
      <c r="Y29" s="187" t="s">
        <v>198</v>
      </c>
    </row>
    <row r="30" spans="1:34" x14ac:dyDescent="0.2">
      <c r="B30" t="s">
        <v>199</v>
      </c>
      <c r="C30" t="s">
        <v>200</v>
      </c>
      <c r="D30" s="100" t="s">
        <v>111</v>
      </c>
      <c r="J30" s="100"/>
      <c r="Q30" s="93" t="s">
        <v>8</v>
      </c>
      <c r="R30" s="94">
        <v>80500</v>
      </c>
      <c r="S30" s="94">
        <v>31000</v>
      </c>
      <c r="T30" s="36">
        <v>0</v>
      </c>
      <c r="U30" s="94">
        <v>87050</v>
      </c>
      <c r="V30" s="95">
        <v>8600</v>
      </c>
      <c r="W30" s="83">
        <v>0.89</v>
      </c>
      <c r="Z30" t="s">
        <v>199</v>
      </c>
      <c r="AA30" t="s">
        <v>200</v>
      </c>
      <c r="AB30" s="100" t="s">
        <v>111</v>
      </c>
      <c r="AH30" s="100"/>
    </row>
    <row r="31" spans="1:34" x14ac:dyDescent="0.2">
      <c r="A31" t="s">
        <v>1</v>
      </c>
      <c r="B31" s="98">
        <f>$R$29</f>
        <v>82050</v>
      </c>
      <c r="C31" s="98">
        <f>B31*D31</f>
        <v>0</v>
      </c>
      <c r="D31" s="100">
        <v>0</v>
      </c>
      <c r="H31" s="98"/>
      <c r="I31" s="98"/>
      <c r="J31" s="100"/>
      <c r="Q31" s="86" t="s">
        <v>19</v>
      </c>
      <c r="R31" s="87">
        <v>88560</v>
      </c>
      <c r="S31" s="87">
        <v>38420</v>
      </c>
      <c r="T31" s="36">
        <v>0</v>
      </c>
      <c r="U31" s="87">
        <v>83450</v>
      </c>
      <c r="V31" s="88">
        <v>8880</v>
      </c>
      <c r="W31" s="76">
        <v>0.88</v>
      </c>
      <c r="Y31" t="s">
        <v>1</v>
      </c>
      <c r="Z31" s="98">
        <f>R31</f>
        <v>88560</v>
      </c>
      <c r="AA31" s="98">
        <f>Z31*AB31</f>
        <v>885600</v>
      </c>
      <c r="AB31" s="100">
        <v>10</v>
      </c>
      <c r="AF31" s="98"/>
      <c r="AG31" s="98"/>
      <c r="AH31" s="100"/>
    </row>
    <row r="32" spans="1:34" x14ac:dyDescent="0.2">
      <c r="A32" t="s">
        <v>2</v>
      </c>
      <c r="B32" s="98">
        <f>S29</f>
        <v>39000</v>
      </c>
      <c r="C32" s="98">
        <f>B32*D32</f>
        <v>0</v>
      </c>
      <c r="D32" s="100">
        <v>0</v>
      </c>
      <c r="H32" s="98"/>
      <c r="I32" s="98"/>
      <c r="J32" s="100"/>
      <c r="Q32" s="86" t="s">
        <v>21</v>
      </c>
      <c r="R32" s="87">
        <v>88000</v>
      </c>
      <c r="S32" s="87">
        <v>33600</v>
      </c>
      <c r="T32" s="87">
        <v>4000</v>
      </c>
      <c r="U32" s="87">
        <v>85000</v>
      </c>
      <c r="V32" s="88">
        <v>9000</v>
      </c>
      <c r="W32" s="76">
        <v>0.86</v>
      </c>
      <c r="Y32" t="s">
        <v>2</v>
      </c>
      <c r="Z32" s="98">
        <f>S31</f>
        <v>38420</v>
      </c>
      <c r="AA32" s="98">
        <f>Z32*AB32</f>
        <v>768400</v>
      </c>
      <c r="AB32" s="100">
        <v>20</v>
      </c>
      <c r="AF32" s="98"/>
      <c r="AG32" s="98"/>
      <c r="AH32" s="100"/>
    </row>
    <row r="33" spans="1:35" x14ac:dyDescent="0.2">
      <c r="A33" t="s">
        <v>3</v>
      </c>
      <c r="B33" s="98">
        <f>T29</f>
        <v>3050</v>
      </c>
      <c r="C33" s="98">
        <f>B33*D33</f>
        <v>610000</v>
      </c>
      <c r="D33" s="100">
        <v>200</v>
      </c>
      <c r="H33" s="98"/>
      <c r="I33" s="98"/>
      <c r="J33" s="100"/>
      <c r="Q33" s="86" t="s">
        <v>13</v>
      </c>
      <c r="R33" s="36">
        <v>0</v>
      </c>
      <c r="S33" s="87">
        <v>41000</v>
      </c>
      <c r="T33" s="87">
        <v>3900</v>
      </c>
      <c r="U33" s="36">
        <v>0</v>
      </c>
      <c r="V33" s="88">
        <v>8980</v>
      </c>
      <c r="W33" s="76">
        <v>0.89</v>
      </c>
      <c r="Y33" t="s">
        <v>3</v>
      </c>
      <c r="Z33" s="98">
        <f>T31</f>
        <v>0</v>
      </c>
      <c r="AA33" s="98">
        <f>Z33*AB33</f>
        <v>0</v>
      </c>
      <c r="AB33" s="100">
        <v>50</v>
      </c>
      <c r="AF33" s="98"/>
      <c r="AG33" s="98"/>
      <c r="AH33" s="100"/>
    </row>
    <row r="34" spans="1:35" x14ac:dyDescent="0.2">
      <c r="A34" t="s">
        <v>33</v>
      </c>
      <c r="B34" s="98">
        <f>U29</f>
        <v>87600</v>
      </c>
      <c r="C34" s="98">
        <f>B34*D34</f>
        <v>0</v>
      </c>
      <c r="D34" s="100">
        <v>0</v>
      </c>
      <c r="H34" s="98"/>
      <c r="I34" s="98"/>
      <c r="J34" s="100"/>
      <c r="Q34" s="93" t="s">
        <v>23</v>
      </c>
      <c r="R34" s="36">
        <v>0</v>
      </c>
      <c r="S34" s="94">
        <v>32500</v>
      </c>
      <c r="T34" s="94">
        <v>3500</v>
      </c>
      <c r="U34" s="36">
        <v>0</v>
      </c>
      <c r="V34" s="95">
        <v>8325</v>
      </c>
      <c r="W34" s="83">
        <v>0.91</v>
      </c>
      <c r="Y34" t="s">
        <v>33</v>
      </c>
      <c r="Z34" s="98">
        <f>U31</f>
        <v>83450</v>
      </c>
      <c r="AA34" s="98">
        <f>Z34*AB34</f>
        <v>834500</v>
      </c>
      <c r="AB34" s="100">
        <v>10</v>
      </c>
      <c r="AF34" s="98"/>
      <c r="AG34" s="98"/>
      <c r="AH34" s="100"/>
    </row>
    <row r="35" spans="1:35" x14ac:dyDescent="0.2">
      <c r="A35" t="s">
        <v>5</v>
      </c>
      <c r="B35" s="98">
        <f>V29</f>
        <v>7500</v>
      </c>
      <c r="C35" s="98">
        <f>B35*D35</f>
        <v>0</v>
      </c>
      <c r="D35" s="100">
        <v>0</v>
      </c>
      <c r="H35" s="98"/>
      <c r="I35" s="98"/>
      <c r="J35" s="100"/>
      <c r="Q35" s="93" t="s">
        <v>17</v>
      </c>
      <c r="R35" s="94">
        <v>92200</v>
      </c>
      <c r="S35" s="94">
        <v>36800</v>
      </c>
      <c r="T35" s="94">
        <v>3650</v>
      </c>
      <c r="U35" s="94">
        <v>86000</v>
      </c>
      <c r="V35" s="95">
        <v>10100</v>
      </c>
      <c r="W35" s="83">
        <v>0.85</v>
      </c>
      <c r="Y35" t="s">
        <v>5</v>
      </c>
      <c r="Z35" s="98">
        <f>V31</f>
        <v>8880</v>
      </c>
      <c r="AA35" s="98">
        <f>Z35*AB35</f>
        <v>177600</v>
      </c>
      <c r="AB35" s="100">
        <v>20</v>
      </c>
      <c r="AF35" s="98"/>
      <c r="AG35" s="98"/>
      <c r="AH35" s="100"/>
    </row>
    <row r="36" spans="1:35" x14ac:dyDescent="0.2">
      <c r="E36" t="s">
        <v>93</v>
      </c>
      <c r="Q36" s="86" t="s">
        <v>25</v>
      </c>
      <c r="R36" s="87">
        <v>74300</v>
      </c>
      <c r="S36" s="87">
        <v>28325</v>
      </c>
      <c r="T36" s="87">
        <v>2150</v>
      </c>
      <c r="U36" s="87">
        <v>81200</v>
      </c>
      <c r="V36" s="88">
        <v>8200</v>
      </c>
      <c r="W36" s="76">
        <v>0.78</v>
      </c>
      <c r="AC36" t="s">
        <v>93</v>
      </c>
    </row>
    <row r="37" spans="1:35" x14ac:dyDescent="0.2">
      <c r="E37" s="109">
        <f>SUM(C31:C35)</f>
        <v>610000</v>
      </c>
      <c r="K37" s="109"/>
      <c r="Q37" s="93" t="s">
        <v>27</v>
      </c>
      <c r="R37" s="36">
        <v>0</v>
      </c>
      <c r="S37" s="94">
        <v>34450</v>
      </c>
      <c r="T37" s="94">
        <v>3940</v>
      </c>
      <c r="U37" s="36">
        <v>0</v>
      </c>
      <c r="V37" s="95">
        <v>8700</v>
      </c>
      <c r="W37" s="83">
        <v>0.94</v>
      </c>
      <c r="AC37" s="98">
        <f>SUM(AA31:AA35)</f>
        <v>2666100</v>
      </c>
      <c r="AI37" s="98"/>
    </row>
    <row r="38" spans="1:35" x14ac:dyDescent="0.2">
      <c r="Q38" s="93" t="s">
        <v>29</v>
      </c>
      <c r="R38" s="36">
        <v>0</v>
      </c>
      <c r="S38" s="94">
        <v>25000</v>
      </c>
      <c r="T38" s="94">
        <v>1800</v>
      </c>
      <c r="U38" s="36">
        <v>0</v>
      </c>
      <c r="V38" s="95">
        <v>7350</v>
      </c>
      <c r="W38" s="83">
        <v>0.88</v>
      </c>
    </row>
    <row r="39" spans="1:35" x14ac:dyDescent="0.2">
      <c r="E39" t="s">
        <v>201</v>
      </c>
      <c r="Q39" s="86" t="s">
        <v>31</v>
      </c>
      <c r="R39" s="87">
        <v>95450</v>
      </c>
      <c r="S39" s="87">
        <v>37400</v>
      </c>
      <c r="T39" s="36">
        <v>0</v>
      </c>
      <c r="U39" s="87">
        <v>86900</v>
      </c>
      <c r="V39" s="37">
        <v>0</v>
      </c>
      <c r="W39" s="79">
        <v>0.87</v>
      </c>
      <c r="AC39" t="s">
        <v>201</v>
      </c>
    </row>
    <row r="40" spans="1:35" x14ac:dyDescent="0.2">
      <c r="B40" t="s">
        <v>202</v>
      </c>
      <c r="E40" s="98">
        <f>E37</f>
        <v>610000</v>
      </c>
      <c r="K40" s="98"/>
      <c r="Z40" t="s">
        <v>202</v>
      </c>
    </row>
    <row r="41" spans="1:35" ht="32" thickBot="1" x14ac:dyDescent="0.5">
      <c r="A41" t="s">
        <v>203</v>
      </c>
      <c r="B41" s="107">
        <f>E37+K37</f>
        <v>610000</v>
      </c>
      <c r="C41" s="98"/>
      <c r="Q41" s="251" t="s">
        <v>116</v>
      </c>
      <c r="R41" s="252"/>
      <c r="Y41" t="s">
        <v>203</v>
      </c>
      <c r="Z41" s="98">
        <f>AC37+AI37</f>
        <v>2666100</v>
      </c>
    </row>
    <row r="42" spans="1:35" s="1" customFormat="1" ht="17" thickBot="1" x14ac:dyDescent="0.25">
      <c r="K42" s="106"/>
      <c r="Q42" s="41" t="s">
        <v>117</v>
      </c>
      <c r="R42" s="45" t="s">
        <v>118</v>
      </c>
    </row>
    <row r="43" spans="1:35" ht="16" x14ac:dyDescent="0.2">
      <c r="P43" t="s">
        <v>204</v>
      </c>
      <c r="Q43" s="101">
        <v>3000000</v>
      </c>
      <c r="R43" s="18">
        <v>0.1</v>
      </c>
    </row>
    <row r="44" spans="1:35" ht="26" x14ac:dyDescent="0.3">
      <c r="A44" s="188" t="s">
        <v>107</v>
      </c>
      <c r="P44" t="s">
        <v>204</v>
      </c>
      <c r="Q44" s="102">
        <v>6000000</v>
      </c>
      <c r="R44" s="19">
        <v>0.18</v>
      </c>
      <c r="Y44" s="187" t="s">
        <v>205</v>
      </c>
    </row>
    <row r="45" spans="1:35" x14ac:dyDescent="0.2">
      <c r="B45" t="s">
        <v>199</v>
      </c>
      <c r="C45" t="s">
        <v>200</v>
      </c>
      <c r="D45" s="100" t="s">
        <v>111</v>
      </c>
      <c r="J45" s="100"/>
      <c r="Z45" t="s">
        <v>199</v>
      </c>
      <c r="AA45" t="s">
        <v>200</v>
      </c>
      <c r="AB45" s="100" t="s">
        <v>111</v>
      </c>
      <c r="AH45" s="100"/>
    </row>
    <row r="46" spans="1:35" x14ac:dyDescent="0.2">
      <c r="A46" t="s">
        <v>1</v>
      </c>
      <c r="B46" s="98">
        <f>R30</f>
        <v>80500</v>
      </c>
      <c r="C46" s="98">
        <f>B46*D46</f>
        <v>0</v>
      </c>
      <c r="D46" s="100">
        <v>0</v>
      </c>
      <c r="H46" s="98"/>
      <c r="I46" s="98"/>
      <c r="J46" s="100"/>
      <c r="Y46" t="s">
        <v>1</v>
      </c>
      <c r="Z46" s="98">
        <f>R32</f>
        <v>88000</v>
      </c>
      <c r="AA46" s="98">
        <f>Z46*AB46</f>
        <v>880000</v>
      </c>
      <c r="AB46" s="100">
        <v>10</v>
      </c>
      <c r="AF46" s="98"/>
      <c r="AG46" s="98"/>
      <c r="AH46" s="100"/>
    </row>
    <row r="47" spans="1:35" x14ac:dyDescent="0.2">
      <c r="A47" t="s">
        <v>2</v>
      </c>
      <c r="B47" s="98">
        <f>S30</f>
        <v>31000</v>
      </c>
      <c r="C47" s="98">
        <f>B47*D47</f>
        <v>0</v>
      </c>
      <c r="D47" s="100">
        <v>0</v>
      </c>
      <c r="H47" s="98"/>
      <c r="I47" s="98"/>
      <c r="J47" s="100"/>
      <c r="Y47" t="s">
        <v>2</v>
      </c>
      <c r="Z47" s="98">
        <f>S32</f>
        <v>33600</v>
      </c>
      <c r="AA47" s="98">
        <f>Z47*AB47</f>
        <v>672000</v>
      </c>
      <c r="AB47" s="100">
        <v>20</v>
      </c>
      <c r="AF47" s="98"/>
      <c r="AG47" s="98"/>
      <c r="AH47" s="100"/>
    </row>
    <row r="48" spans="1:35" x14ac:dyDescent="0.2">
      <c r="A48" t="s">
        <v>3</v>
      </c>
      <c r="B48" s="98">
        <f>T30</f>
        <v>0</v>
      </c>
      <c r="C48" s="98">
        <f>B48*D48</f>
        <v>0</v>
      </c>
      <c r="D48" s="100">
        <v>0</v>
      </c>
      <c r="H48" s="98"/>
      <c r="I48" s="98"/>
      <c r="J48" s="100"/>
      <c r="Y48" t="s">
        <v>3</v>
      </c>
      <c r="Z48" s="98">
        <f>T32</f>
        <v>4000</v>
      </c>
      <c r="AA48" s="98">
        <f>Z48*AB48</f>
        <v>200000</v>
      </c>
      <c r="AB48" s="100">
        <v>50</v>
      </c>
      <c r="AF48" s="98"/>
      <c r="AG48" s="98"/>
      <c r="AH48" s="100"/>
    </row>
    <row r="49" spans="1:35" x14ac:dyDescent="0.2">
      <c r="A49" t="s">
        <v>33</v>
      </c>
      <c r="B49" s="98">
        <f>U30</f>
        <v>87050</v>
      </c>
      <c r="C49" s="98">
        <f>B49*D49</f>
        <v>2611500</v>
      </c>
      <c r="D49" s="100">
        <v>30</v>
      </c>
      <c r="H49" s="98"/>
      <c r="I49" s="98"/>
      <c r="J49" s="100"/>
      <c r="Y49" t="s">
        <v>33</v>
      </c>
      <c r="Z49" s="98">
        <f>U32</f>
        <v>85000</v>
      </c>
      <c r="AA49" s="98">
        <f>Z49*AB49</f>
        <v>850000</v>
      </c>
      <c r="AB49" s="100">
        <v>10</v>
      </c>
      <c r="AF49" s="98"/>
      <c r="AG49" s="98"/>
      <c r="AH49" s="100"/>
    </row>
    <row r="50" spans="1:35" x14ac:dyDescent="0.2">
      <c r="A50" t="s">
        <v>5</v>
      </c>
      <c r="B50" s="98">
        <f>V30</f>
        <v>8600</v>
      </c>
      <c r="C50" s="98">
        <f>B50*D50</f>
        <v>0</v>
      </c>
      <c r="D50" s="100">
        <v>0</v>
      </c>
      <c r="H50" s="98"/>
      <c r="I50" s="98"/>
      <c r="J50" s="100"/>
      <c r="Y50" t="s">
        <v>5</v>
      </c>
      <c r="Z50" s="98">
        <f>V32</f>
        <v>9000</v>
      </c>
      <c r="AA50" s="98">
        <f>Z50*AB50</f>
        <v>180000</v>
      </c>
      <c r="AB50" s="100">
        <v>20</v>
      </c>
      <c r="AF50" s="98"/>
      <c r="AG50" s="98"/>
      <c r="AH50" s="100"/>
    </row>
    <row r="51" spans="1:35" x14ac:dyDescent="0.2">
      <c r="E51" t="s">
        <v>93</v>
      </c>
      <c r="AC51" t="s">
        <v>93</v>
      </c>
    </row>
    <row r="52" spans="1:35" x14ac:dyDescent="0.2">
      <c r="E52" s="109">
        <f>SUM(C46:C50)</f>
        <v>2611500</v>
      </c>
      <c r="K52" s="109"/>
      <c r="AC52" s="98">
        <f>SUM(AA46:AA50)</f>
        <v>2782000</v>
      </c>
      <c r="AI52" s="98"/>
    </row>
    <row r="54" spans="1:35" x14ac:dyDescent="0.2">
      <c r="E54" t="s">
        <v>201</v>
      </c>
      <c r="AC54" t="s">
        <v>201</v>
      </c>
    </row>
    <row r="55" spans="1:35" x14ac:dyDescent="0.2">
      <c r="B55" t="s">
        <v>202</v>
      </c>
      <c r="Z55" t="s">
        <v>202</v>
      </c>
    </row>
    <row r="56" spans="1:35" x14ac:dyDescent="0.2">
      <c r="A56" t="s">
        <v>206</v>
      </c>
      <c r="B56" s="107">
        <f>E52+K52</f>
        <v>2611500</v>
      </c>
      <c r="Y56" t="s">
        <v>203</v>
      </c>
      <c r="Z56" s="98">
        <f>AC52+AI52</f>
        <v>2782000</v>
      </c>
    </row>
    <row r="57" spans="1:35" s="1" customFormat="1" ht="16" thickBot="1" x14ac:dyDescent="0.25"/>
    <row r="59" spans="1:35" ht="26" x14ac:dyDescent="0.3">
      <c r="A59" s="189" t="s">
        <v>207</v>
      </c>
      <c r="B59" s="103"/>
      <c r="C59" s="103"/>
      <c r="D59" s="103"/>
      <c r="E59" s="103"/>
      <c r="F59" s="103"/>
      <c r="G59" s="103"/>
      <c r="H59" s="103"/>
      <c r="I59" s="103"/>
      <c r="J59" s="103"/>
      <c r="K59" s="103"/>
      <c r="Y59" s="187" t="s">
        <v>148</v>
      </c>
    </row>
    <row r="60" spans="1:35" x14ac:dyDescent="0.2">
      <c r="A60" s="103"/>
      <c r="B60" s="103" t="s">
        <v>199</v>
      </c>
      <c r="C60" s="103" t="s">
        <v>200</v>
      </c>
      <c r="D60" s="104" t="s">
        <v>111</v>
      </c>
      <c r="E60" s="103"/>
      <c r="F60" s="103"/>
      <c r="G60" s="103"/>
      <c r="H60" s="103"/>
      <c r="I60" s="103"/>
      <c r="J60" s="104"/>
      <c r="K60" s="103"/>
      <c r="Z60" t="s">
        <v>199</v>
      </c>
      <c r="AA60" t="s">
        <v>200</v>
      </c>
      <c r="AB60" s="100" t="s">
        <v>111</v>
      </c>
      <c r="AH60" s="100"/>
    </row>
    <row r="61" spans="1:35" x14ac:dyDescent="0.2">
      <c r="A61" s="103" t="s">
        <v>1</v>
      </c>
      <c r="B61" s="105">
        <f>R34</f>
        <v>0</v>
      </c>
      <c r="C61" s="105">
        <f>B61*D61</f>
        <v>0</v>
      </c>
      <c r="D61" s="104">
        <v>0</v>
      </c>
      <c r="E61" s="103"/>
      <c r="F61" s="103"/>
      <c r="G61" s="103"/>
      <c r="H61" s="105"/>
      <c r="I61" s="105"/>
      <c r="J61" s="104"/>
      <c r="K61" s="103"/>
      <c r="Y61" t="s">
        <v>1</v>
      </c>
      <c r="Z61" s="98">
        <f>R33</f>
        <v>0</v>
      </c>
      <c r="AA61" s="98">
        <f>Z61*AB61</f>
        <v>0</v>
      </c>
      <c r="AB61" s="100">
        <v>0</v>
      </c>
      <c r="AF61" s="98"/>
      <c r="AG61" s="98"/>
      <c r="AH61" s="100"/>
    </row>
    <row r="62" spans="1:35" x14ac:dyDescent="0.2">
      <c r="A62" s="103" t="s">
        <v>2</v>
      </c>
      <c r="B62" s="105">
        <f>S34</f>
        <v>32500</v>
      </c>
      <c r="C62" s="105">
        <f>B62*D62</f>
        <v>0</v>
      </c>
      <c r="D62" s="104">
        <v>0</v>
      </c>
      <c r="E62" s="103"/>
      <c r="F62" s="103"/>
      <c r="G62" s="103"/>
      <c r="H62" s="105"/>
      <c r="I62" s="105"/>
      <c r="J62" s="104"/>
      <c r="K62" s="103"/>
      <c r="Y62" t="s">
        <v>2</v>
      </c>
      <c r="Z62" s="98">
        <f>S33</f>
        <v>41000</v>
      </c>
      <c r="AA62" s="98">
        <f>Z62*AB62</f>
        <v>2460000</v>
      </c>
      <c r="AB62" s="100">
        <v>60</v>
      </c>
      <c r="AF62" s="98"/>
      <c r="AG62" s="98"/>
      <c r="AH62" s="100"/>
    </row>
    <row r="63" spans="1:35" x14ac:dyDescent="0.2">
      <c r="A63" s="103" t="s">
        <v>3</v>
      </c>
      <c r="B63" s="105">
        <f>T34</f>
        <v>3500</v>
      </c>
      <c r="C63" s="105">
        <f>B63*D63</f>
        <v>0</v>
      </c>
      <c r="D63" s="104">
        <v>0</v>
      </c>
      <c r="E63" s="103"/>
      <c r="F63" s="103"/>
      <c r="G63" s="103"/>
      <c r="H63" s="105"/>
      <c r="I63" s="105"/>
      <c r="J63" s="104"/>
      <c r="K63" s="103"/>
      <c r="Y63" t="s">
        <v>3</v>
      </c>
      <c r="Z63" s="98">
        <f>T33</f>
        <v>3900</v>
      </c>
      <c r="AA63" s="98">
        <f>Z63*AB63</f>
        <v>585000</v>
      </c>
      <c r="AB63" s="100">
        <v>150</v>
      </c>
      <c r="AF63" s="98"/>
      <c r="AG63" s="98"/>
      <c r="AH63" s="100"/>
    </row>
    <row r="64" spans="1:35" x14ac:dyDescent="0.2">
      <c r="A64" s="103" t="s">
        <v>33</v>
      </c>
      <c r="B64" s="105">
        <f>U34</f>
        <v>0</v>
      </c>
      <c r="C64" s="105">
        <f>B64*D64</f>
        <v>0</v>
      </c>
      <c r="D64" s="104">
        <v>30</v>
      </c>
      <c r="E64" s="103"/>
      <c r="F64" s="103"/>
      <c r="G64" s="103"/>
      <c r="H64" s="105"/>
      <c r="I64" s="105"/>
      <c r="J64" s="104"/>
      <c r="K64" s="103"/>
      <c r="Y64" t="s">
        <v>33</v>
      </c>
      <c r="Z64" s="98">
        <f>U33</f>
        <v>0</v>
      </c>
      <c r="AA64" s="98">
        <f>Z64*AB64</f>
        <v>0</v>
      </c>
      <c r="AB64" s="100">
        <v>0</v>
      </c>
      <c r="AF64" s="98"/>
      <c r="AG64" s="98"/>
      <c r="AH64" s="100"/>
    </row>
    <row r="65" spans="1:35" x14ac:dyDescent="0.2">
      <c r="A65" s="103" t="s">
        <v>5</v>
      </c>
      <c r="B65" s="105">
        <f>V34</f>
        <v>8325</v>
      </c>
      <c r="C65" s="105">
        <f>B65*D65</f>
        <v>166500</v>
      </c>
      <c r="D65" s="104">
        <v>20</v>
      </c>
      <c r="E65" s="103"/>
      <c r="F65" s="103"/>
      <c r="G65" s="103"/>
      <c r="H65" s="105"/>
      <c r="I65" s="105"/>
      <c r="J65" s="104"/>
      <c r="K65" s="103"/>
      <c r="Y65" t="s">
        <v>5</v>
      </c>
      <c r="Z65" s="98">
        <f>V33</f>
        <v>8980</v>
      </c>
      <c r="AA65" s="98">
        <f>Z65*AB65</f>
        <v>0</v>
      </c>
      <c r="AB65" s="100">
        <v>0</v>
      </c>
      <c r="AF65" s="98"/>
      <c r="AG65" s="98"/>
      <c r="AH65" s="100"/>
    </row>
    <row r="66" spans="1:35" x14ac:dyDescent="0.2">
      <c r="A66" s="103"/>
      <c r="B66" s="103"/>
      <c r="C66" s="103"/>
      <c r="D66" s="103"/>
      <c r="E66" s="103" t="s">
        <v>93</v>
      </c>
      <c r="F66" s="103"/>
      <c r="G66" s="103"/>
      <c r="H66" s="103"/>
      <c r="I66" s="103"/>
      <c r="J66" s="103"/>
      <c r="K66" s="103"/>
      <c r="AC66" t="s">
        <v>93</v>
      </c>
    </row>
    <row r="67" spans="1:35" x14ac:dyDescent="0.2">
      <c r="A67" s="103"/>
      <c r="B67" s="103"/>
      <c r="C67" s="103"/>
      <c r="D67" s="103"/>
      <c r="E67" s="110">
        <f>SUM(C61:C65)</f>
        <v>166500</v>
      </c>
      <c r="F67" s="103"/>
      <c r="G67" s="103"/>
      <c r="H67" s="103"/>
      <c r="I67" s="103"/>
      <c r="J67" s="103"/>
      <c r="K67" s="110"/>
      <c r="AC67" s="98">
        <f>SUM(AA61:AA65)</f>
        <v>3045000</v>
      </c>
      <c r="AI67" s="98"/>
    </row>
    <row r="68" spans="1:35" x14ac:dyDescent="0.2">
      <c r="A68" s="103"/>
      <c r="B68" s="103"/>
      <c r="C68" s="103"/>
      <c r="D68" s="103"/>
      <c r="E68" s="103"/>
      <c r="F68" s="103"/>
      <c r="G68" s="103"/>
      <c r="H68" s="103"/>
      <c r="I68" s="103"/>
      <c r="J68" s="103"/>
      <c r="K68" s="103"/>
    </row>
    <row r="69" spans="1:35" x14ac:dyDescent="0.2">
      <c r="A69" s="103"/>
      <c r="B69" s="103"/>
      <c r="C69" s="103"/>
      <c r="D69" s="103"/>
      <c r="E69" s="103" t="s">
        <v>201</v>
      </c>
      <c r="F69" s="103"/>
      <c r="G69" s="103"/>
      <c r="H69" s="103"/>
      <c r="I69" s="103"/>
      <c r="J69" s="103"/>
      <c r="K69" s="103"/>
      <c r="AC69" t="s">
        <v>201</v>
      </c>
    </row>
    <row r="70" spans="1:35" x14ac:dyDescent="0.2">
      <c r="A70" s="103"/>
      <c r="B70" s="103" t="s">
        <v>202</v>
      </c>
      <c r="C70" s="103"/>
      <c r="D70" s="103"/>
      <c r="E70" s="103"/>
      <c r="F70" s="103"/>
      <c r="G70" s="103"/>
      <c r="H70" s="103"/>
      <c r="I70" s="103"/>
      <c r="J70" s="103"/>
      <c r="K70" s="103"/>
      <c r="Z70" t="s">
        <v>202</v>
      </c>
    </row>
    <row r="71" spans="1:35" x14ac:dyDescent="0.2">
      <c r="A71" s="103" t="s">
        <v>208</v>
      </c>
      <c r="B71" s="108">
        <f>E67+K67</f>
        <v>166500</v>
      </c>
      <c r="C71" s="103"/>
      <c r="D71" s="103"/>
      <c r="E71" s="103"/>
      <c r="F71" s="103"/>
      <c r="G71" s="103"/>
      <c r="H71" s="103"/>
      <c r="I71" s="103"/>
      <c r="J71" s="103"/>
      <c r="K71" s="103"/>
      <c r="Y71" t="s">
        <v>203</v>
      </c>
      <c r="Z71" s="98">
        <f>AC67+AI67</f>
        <v>3045000</v>
      </c>
    </row>
    <row r="72" spans="1:35" s="1" customFormat="1" ht="16" thickBot="1" x14ac:dyDescent="0.25"/>
    <row r="74" spans="1:35" ht="26" x14ac:dyDescent="0.3">
      <c r="A74" s="189" t="s">
        <v>127</v>
      </c>
      <c r="B74" s="103"/>
      <c r="C74" s="103"/>
      <c r="D74" s="103"/>
      <c r="E74" s="103"/>
      <c r="F74" s="103"/>
      <c r="G74" s="103"/>
      <c r="H74" s="103"/>
      <c r="I74" s="103"/>
      <c r="J74" s="103"/>
      <c r="K74" s="103"/>
      <c r="Y74" s="187" t="s">
        <v>209</v>
      </c>
    </row>
    <row r="75" spans="1:35" x14ac:dyDescent="0.2">
      <c r="A75" s="103"/>
      <c r="B75" s="103" t="s">
        <v>199</v>
      </c>
      <c r="C75" s="103" t="s">
        <v>200</v>
      </c>
      <c r="D75" s="104" t="s">
        <v>111</v>
      </c>
      <c r="E75" s="103"/>
      <c r="F75" s="103"/>
      <c r="G75" s="103"/>
      <c r="H75" s="103"/>
      <c r="I75" s="103"/>
      <c r="J75" s="104"/>
      <c r="K75" s="103"/>
      <c r="Z75" t="s">
        <v>199</v>
      </c>
      <c r="AA75" t="s">
        <v>200</v>
      </c>
      <c r="AB75" s="100" t="s">
        <v>111</v>
      </c>
      <c r="AH75" s="100"/>
    </row>
    <row r="76" spans="1:35" x14ac:dyDescent="0.2">
      <c r="A76" s="103" t="s">
        <v>1</v>
      </c>
      <c r="B76" s="105">
        <f>R35</f>
        <v>92200</v>
      </c>
      <c r="C76" s="105">
        <f>B76*D76</f>
        <v>0</v>
      </c>
      <c r="D76" s="104">
        <v>0</v>
      </c>
      <c r="E76" s="103"/>
      <c r="F76" s="103"/>
      <c r="G76" s="103"/>
      <c r="H76" s="105"/>
      <c r="I76" s="105"/>
      <c r="J76" s="104"/>
      <c r="K76" s="103"/>
      <c r="Y76" t="s">
        <v>1</v>
      </c>
      <c r="Z76" s="98">
        <f>R36</f>
        <v>74300</v>
      </c>
      <c r="AA76" s="98">
        <f>Z76*AB76</f>
        <v>743000</v>
      </c>
      <c r="AB76" s="100">
        <v>10</v>
      </c>
      <c r="AF76" s="98"/>
      <c r="AG76" s="98"/>
      <c r="AH76" s="100"/>
    </row>
    <row r="77" spans="1:35" x14ac:dyDescent="0.2">
      <c r="A77" s="103" t="s">
        <v>2</v>
      </c>
      <c r="B77" s="105">
        <f>S35</f>
        <v>36800</v>
      </c>
      <c r="C77" s="105">
        <f>B77*D77</f>
        <v>0</v>
      </c>
      <c r="D77" s="104">
        <v>0</v>
      </c>
      <c r="E77" s="103"/>
      <c r="F77" s="103"/>
      <c r="G77" s="103"/>
      <c r="H77" s="105"/>
      <c r="I77" s="105"/>
      <c r="J77" s="104"/>
      <c r="K77" s="103"/>
      <c r="Y77" t="s">
        <v>2</v>
      </c>
      <c r="Z77" s="98">
        <f>S36</f>
        <v>28325</v>
      </c>
      <c r="AA77" s="98">
        <f>Z77*AB77</f>
        <v>566500</v>
      </c>
      <c r="AB77" s="100">
        <v>20</v>
      </c>
      <c r="AF77" s="98"/>
      <c r="AG77" s="98"/>
      <c r="AH77" s="100"/>
    </row>
    <row r="78" spans="1:35" x14ac:dyDescent="0.2">
      <c r="A78" s="103" t="s">
        <v>3</v>
      </c>
      <c r="B78" s="105">
        <f>T35</f>
        <v>3650</v>
      </c>
      <c r="C78" s="105">
        <f>B78*D78</f>
        <v>0</v>
      </c>
      <c r="D78" s="104">
        <v>0</v>
      </c>
      <c r="E78" s="103"/>
      <c r="F78" s="103"/>
      <c r="G78" s="103"/>
      <c r="H78" s="105"/>
      <c r="I78" s="105"/>
      <c r="J78" s="104"/>
      <c r="K78" s="103"/>
      <c r="Y78" t="s">
        <v>3</v>
      </c>
      <c r="Z78" s="98">
        <f>T36</f>
        <v>2150</v>
      </c>
      <c r="AA78" s="98">
        <f>Z78*AB78</f>
        <v>107500</v>
      </c>
      <c r="AB78" s="100">
        <v>50</v>
      </c>
      <c r="AF78" s="98"/>
      <c r="AG78" s="98"/>
      <c r="AH78" s="100"/>
    </row>
    <row r="79" spans="1:35" x14ac:dyDescent="0.2">
      <c r="A79" s="103" t="s">
        <v>33</v>
      </c>
      <c r="B79" s="105">
        <f>U35</f>
        <v>86000</v>
      </c>
      <c r="C79" s="105">
        <f>B79*D79</f>
        <v>0</v>
      </c>
      <c r="D79" s="104">
        <v>0</v>
      </c>
      <c r="E79" s="103"/>
      <c r="F79" s="103"/>
      <c r="G79" s="103"/>
      <c r="H79" s="105"/>
      <c r="I79" s="105"/>
      <c r="J79" s="104"/>
      <c r="K79" s="103"/>
      <c r="Y79" t="s">
        <v>33</v>
      </c>
      <c r="Z79" s="98">
        <f>U36</f>
        <v>81200</v>
      </c>
      <c r="AA79" s="98">
        <f>Z79*AB79</f>
        <v>812000</v>
      </c>
      <c r="AB79" s="100">
        <v>10</v>
      </c>
      <c r="AF79" s="98"/>
      <c r="AG79" s="98"/>
      <c r="AH79" s="100"/>
    </row>
    <row r="80" spans="1:35" x14ac:dyDescent="0.2">
      <c r="A80" s="103" t="s">
        <v>5</v>
      </c>
      <c r="B80" s="105">
        <f>V35</f>
        <v>10100</v>
      </c>
      <c r="C80" s="105">
        <f>B80*D80</f>
        <v>606000</v>
      </c>
      <c r="D80" s="104">
        <v>60</v>
      </c>
      <c r="E80" s="103"/>
      <c r="F80" s="103"/>
      <c r="G80" s="103"/>
      <c r="H80" s="105"/>
      <c r="I80" s="105"/>
      <c r="J80" s="104"/>
      <c r="K80" s="103"/>
      <c r="Y80" t="s">
        <v>5</v>
      </c>
      <c r="Z80" s="98">
        <f>V36</f>
        <v>8200</v>
      </c>
      <c r="AA80" s="98">
        <f>Z80*AB80</f>
        <v>164000</v>
      </c>
      <c r="AB80" s="100">
        <v>20</v>
      </c>
      <c r="AF80" s="98"/>
      <c r="AG80" s="98"/>
      <c r="AH80" s="100"/>
    </row>
    <row r="81" spans="1:35" x14ac:dyDescent="0.2">
      <c r="A81" s="103"/>
      <c r="B81" s="103"/>
      <c r="C81" s="103"/>
      <c r="D81" s="103"/>
      <c r="E81" s="103" t="s">
        <v>93</v>
      </c>
      <c r="F81" s="103"/>
      <c r="G81" s="103"/>
      <c r="H81" s="103"/>
      <c r="I81" s="103"/>
      <c r="J81" s="103"/>
      <c r="K81" s="103"/>
      <c r="AC81" t="s">
        <v>93</v>
      </c>
    </row>
    <row r="82" spans="1:35" x14ac:dyDescent="0.2">
      <c r="A82" s="103"/>
      <c r="B82" s="103"/>
      <c r="C82" s="103"/>
      <c r="D82" s="103"/>
      <c r="E82" s="110">
        <f>SUM(C76:C80)</f>
        <v>606000</v>
      </c>
      <c r="F82" s="103"/>
      <c r="G82" s="103"/>
      <c r="H82" s="103"/>
      <c r="I82" s="103"/>
      <c r="J82" s="103"/>
      <c r="K82" s="110"/>
      <c r="AC82" s="98">
        <f>SUM(AA76:AA80)</f>
        <v>2393000</v>
      </c>
      <c r="AI82" s="98"/>
    </row>
    <row r="83" spans="1:35" x14ac:dyDescent="0.2">
      <c r="A83" s="103"/>
      <c r="B83" s="103"/>
      <c r="C83" s="103"/>
      <c r="D83" s="103"/>
      <c r="E83" s="103"/>
      <c r="F83" s="103"/>
      <c r="G83" s="103"/>
      <c r="H83" s="103"/>
      <c r="I83" s="103"/>
      <c r="J83" s="103"/>
      <c r="K83" s="103"/>
    </row>
    <row r="84" spans="1:35" x14ac:dyDescent="0.2">
      <c r="A84" s="103"/>
      <c r="B84" s="103"/>
      <c r="C84" s="103"/>
      <c r="D84" s="103"/>
      <c r="E84" s="103" t="s">
        <v>201</v>
      </c>
      <c r="F84" s="103"/>
      <c r="G84" s="103"/>
      <c r="H84" s="103"/>
      <c r="I84" s="103"/>
      <c r="J84" s="103"/>
      <c r="K84" s="103"/>
      <c r="AC84" t="s">
        <v>201</v>
      </c>
    </row>
    <row r="85" spans="1:35" x14ac:dyDescent="0.2">
      <c r="A85" s="103"/>
      <c r="B85" s="103" t="s">
        <v>202</v>
      </c>
      <c r="C85" s="103"/>
      <c r="D85" s="103"/>
      <c r="E85" s="103"/>
      <c r="F85" s="103"/>
      <c r="G85" s="103"/>
      <c r="H85" s="103"/>
      <c r="I85" s="103"/>
      <c r="J85" s="103"/>
      <c r="K85" s="182"/>
      <c r="Z85" t="s">
        <v>202</v>
      </c>
    </row>
    <row r="86" spans="1:35" x14ac:dyDescent="0.2">
      <c r="A86" s="103" t="s">
        <v>210</v>
      </c>
      <c r="B86" s="108">
        <f>SUM(E82+K82)</f>
        <v>606000</v>
      </c>
      <c r="C86" s="103"/>
      <c r="D86" s="103"/>
      <c r="E86" s="103"/>
      <c r="F86" s="103"/>
      <c r="G86" s="103"/>
      <c r="H86" s="103"/>
      <c r="I86" s="103"/>
      <c r="J86" s="103"/>
      <c r="K86" s="103"/>
      <c r="Y86" t="s">
        <v>203</v>
      </c>
      <c r="Z86" s="98">
        <f>AC82+AI82</f>
        <v>2393000</v>
      </c>
    </row>
    <row r="87" spans="1:35" s="1" customFormat="1" ht="16" thickBot="1" x14ac:dyDescent="0.25"/>
    <row r="89" spans="1:35" ht="26" x14ac:dyDescent="0.3">
      <c r="A89" s="189" t="s">
        <v>179</v>
      </c>
      <c r="B89" s="103"/>
      <c r="C89" s="103"/>
      <c r="D89" s="103"/>
      <c r="E89" s="103"/>
      <c r="F89" s="103"/>
      <c r="G89" s="103"/>
      <c r="H89" s="103"/>
      <c r="I89" s="103"/>
      <c r="J89" s="103"/>
      <c r="K89" s="103"/>
      <c r="Y89" s="187" t="s">
        <v>211</v>
      </c>
    </row>
    <row r="90" spans="1:35" x14ac:dyDescent="0.2">
      <c r="A90" s="103"/>
      <c r="B90" s="103" t="s">
        <v>199</v>
      </c>
      <c r="C90" s="103" t="s">
        <v>200</v>
      </c>
      <c r="D90" s="104" t="s">
        <v>111</v>
      </c>
      <c r="E90" s="103"/>
      <c r="F90" s="103"/>
      <c r="G90" s="103"/>
      <c r="H90" s="103"/>
      <c r="I90" s="103"/>
      <c r="J90" s="104"/>
      <c r="K90" s="103"/>
      <c r="Z90" t="s">
        <v>199</v>
      </c>
      <c r="AA90" t="s">
        <v>200</v>
      </c>
      <c r="AB90" s="100" t="s">
        <v>111</v>
      </c>
      <c r="AH90" s="100"/>
    </row>
    <row r="91" spans="1:35" x14ac:dyDescent="0.2">
      <c r="A91" s="103" t="s">
        <v>1</v>
      </c>
      <c r="B91" s="105">
        <f>R37</f>
        <v>0</v>
      </c>
      <c r="C91" s="105">
        <f>B91*D91</f>
        <v>0</v>
      </c>
      <c r="D91" s="104">
        <v>0</v>
      </c>
      <c r="E91" s="103"/>
      <c r="F91" s="103"/>
      <c r="G91" s="103"/>
      <c r="H91" s="105"/>
      <c r="I91" s="105"/>
      <c r="J91" s="104"/>
      <c r="K91" s="103"/>
      <c r="Y91" t="s">
        <v>1</v>
      </c>
      <c r="Z91" s="98">
        <f>R39</f>
        <v>95450</v>
      </c>
      <c r="AA91" s="98">
        <f>Z91*AB91</f>
        <v>954500</v>
      </c>
      <c r="AB91" s="100">
        <v>10</v>
      </c>
      <c r="AF91" s="98"/>
      <c r="AG91" s="98"/>
      <c r="AH91" s="100"/>
    </row>
    <row r="92" spans="1:35" x14ac:dyDescent="0.2">
      <c r="A92" s="103" t="s">
        <v>2</v>
      </c>
      <c r="B92" s="105">
        <f>S37</f>
        <v>34450</v>
      </c>
      <c r="C92" s="105">
        <f>B92*D92</f>
        <v>0</v>
      </c>
      <c r="D92" s="104">
        <v>0</v>
      </c>
      <c r="E92" s="103"/>
      <c r="F92" s="103"/>
      <c r="G92" s="103"/>
      <c r="H92" s="105"/>
      <c r="I92" s="105"/>
      <c r="J92" s="104"/>
      <c r="K92" s="103"/>
      <c r="Y92" t="s">
        <v>2</v>
      </c>
      <c r="Z92" s="98">
        <f>S39</f>
        <v>37400</v>
      </c>
      <c r="AA92" s="98">
        <f>Z92*AB92</f>
        <v>748000</v>
      </c>
      <c r="AB92" s="100">
        <v>20</v>
      </c>
      <c r="AF92" s="98"/>
      <c r="AG92" s="98"/>
      <c r="AH92" s="100"/>
    </row>
    <row r="93" spans="1:35" x14ac:dyDescent="0.2">
      <c r="A93" s="103" t="s">
        <v>3</v>
      </c>
      <c r="B93" s="105">
        <f>T37</f>
        <v>3940</v>
      </c>
      <c r="C93" s="105">
        <f>B93*D93</f>
        <v>197000</v>
      </c>
      <c r="D93" s="104">
        <v>50</v>
      </c>
      <c r="E93" s="103"/>
      <c r="F93" s="103"/>
      <c r="G93" s="103"/>
      <c r="H93" s="105"/>
      <c r="I93" s="105"/>
      <c r="J93" s="104"/>
      <c r="K93" s="103"/>
      <c r="Y93" t="s">
        <v>3</v>
      </c>
      <c r="Z93" s="98">
        <f>T39</f>
        <v>0</v>
      </c>
      <c r="AA93" s="98">
        <f>Z93*AB93</f>
        <v>0</v>
      </c>
      <c r="AB93" s="100">
        <v>50</v>
      </c>
      <c r="AF93" s="98"/>
      <c r="AG93" s="98"/>
      <c r="AH93" s="100"/>
    </row>
    <row r="94" spans="1:35" x14ac:dyDescent="0.2">
      <c r="A94" s="103" t="s">
        <v>33</v>
      </c>
      <c r="B94" s="105">
        <f>U37</f>
        <v>0</v>
      </c>
      <c r="C94" s="105">
        <f>B94*D94</f>
        <v>0</v>
      </c>
      <c r="D94" s="104">
        <v>0</v>
      </c>
      <c r="E94" s="103"/>
      <c r="F94" s="103"/>
      <c r="G94" s="103"/>
      <c r="H94" s="105"/>
      <c r="I94" s="105"/>
      <c r="J94" s="104"/>
      <c r="K94" s="103"/>
      <c r="Y94" t="s">
        <v>33</v>
      </c>
      <c r="Z94" s="98">
        <f>U39</f>
        <v>86900</v>
      </c>
      <c r="AA94" s="98">
        <f>Z94*AB94</f>
        <v>869000</v>
      </c>
      <c r="AB94" s="100">
        <v>10</v>
      </c>
      <c r="AF94" s="98"/>
      <c r="AG94" s="98"/>
      <c r="AH94" s="100"/>
    </row>
    <row r="95" spans="1:35" x14ac:dyDescent="0.2">
      <c r="A95" s="103" t="s">
        <v>5</v>
      </c>
      <c r="B95" s="105">
        <f>V37</f>
        <v>8700</v>
      </c>
      <c r="C95" s="105">
        <f>B95*D95</f>
        <v>0</v>
      </c>
      <c r="D95" s="104">
        <v>0</v>
      </c>
      <c r="E95" s="103"/>
      <c r="F95" s="103"/>
      <c r="G95" s="103"/>
      <c r="H95" s="105"/>
      <c r="I95" s="105"/>
      <c r="J95" s="104"/>
      <c r="K95" s="103"/>
      <c r="Y95" t="s">
        <v>5</v>
      </c>
      <c r="Z95" s="98">
        <f>V39</f>
        <v>0</v>
      </c>
      <c r="AA95" s="98">
        <f>Z95*AB95</f>
        <v>0</v>
      </c>
      <c r="AB95" s="100">
        <v>20</v>
      </c>
      <c r="AF95" s="98"/>
      <c r="AG95" s="98"/>
      <c r="AH95" s="100"/>
    </row>
    <row r="96" spans="1:35" x14ac:dyDescent="0.2">
      <c r="A96" s="103"/>
      <c r="B96" s="103"/>
      <c r="C96" s="103"/>
      <c r="D96" s="103"/>
      <c r="E96" s="103" t="s">
        <v>93</v>
      </c>
      <c r="F96" s="103"/>
      <c r="G96" s="103"/>
      <c r="H96" s="103"/>
      <c r="I96" s="103"/>
      <c r="J96" s="103"/>
      <c r="K96" s="103"/>
      <c r="AC96" t="s">
        <v>93</v>
      </c>
    </row>
    <row r="97" spans="1:35" x14ac:dyDescent="0.2">
      <c r="A97" s="103"/>
      <c r="B97" s="103"/>
      <c r="C97" s="103"/>
      <c r="D97" s="103"/>
      <c r="E97" s="110">
        <f>SUM(C91:C95)</f>
        <v>197000</v>
      </c>
      <c r="F97" s="103"/>
      <c r="G97" s="103"/>
      <c r="H97" s="103"/>
      <c r="I97" s="103"/>
      <c r="J97" s="103"/>
      <c r="K97" s="110"/>
      <c r="AC97" s="98">
        <f>SUM(AA91:AA95)</f>
        <v>2571500</v>
      </c>
      <c r="AI97" s="98"/>
    </row>
    <row r="98" spans="1:35" x14ac:dyDescent="0.2">
      <c r="A98" s="103"/>
      <c r="B98" s="103"/>
      <c r="C98" s="103"/>
      <c r="D98" s="103"/>
      <c r="E98" s="103"/>
      <c r="F98" s="103"/>
      <c r="G98" s="103"/>
      <c r="H98" s="103"/>
      <c r="I98" s="103"/>
      <c r="J98" s="103"/>
      <c r="K98" s="103"/>
    </row>
    <row r="99" spans="1:35" x14ac:dyDescent="0.2">
      <c r="A99" s="103"/>
      <c r="B99" s="103"/>
      <c r="C99" s="103"/>
      <c r="D99" s="103"/>
      <c r="E99" s="103" t="s">
        <v>201</v>
      </c>
      <c r="F99" s="103"/>
      <c r="G99" s="103"/>
      <c r="H99" s="103"/>
      <c r="I99" s="103"/>
      <c r="J99" s="103"/>
      <c r="K99" s="103"/>
      <c r="AC99" t="s">
        <v>201</v>
      </c>
    </row>
    <row r="100" spans="1:35" x14ac:dyDescent="0.2">
      <c r="A100" s="103"/>
      <c r="B100" s="103" t="s">
        <v>202</v>
      </c>
      <c r="C100" s="103"/>
      <c r="D100" s="103"/>
      <c r="E100" s="103"/>
      <c r="F100" s="103"/>
      <c r="G100" s="103"/>
      <c r="H100" s="103"/>
      <c r="I100" s="103"/>
      <c r="J100" s="103"/>
      <c r="K100" s="103"/>
      <c r="Z100" t="s">
        <v>202</v>
      </c>
    </row>
    <row r="101" spans="1:35" x14ac:dyDescent="0.2">
      <c r="A101" s="103" t="s">
        <v>212</v>
      </c>
      <c r="B101" s="108">
        <f>SUM(E97,K97)</f>
        <v>197000</v>
      </c>
      <c r="C101" s="103"/>
      <c r="D101" s="103"/>
      <c r="E101" s="103"/>
      <c r="F101" s="103"/>
      <c r="G101" s="103"/>
      <c r="H101" s="103"/>
      <c r="I101" s="103"/>
      <c r="J101" s="103"/>
      <c r="K101" s="103"/>
      <c r="Y101" t="s">
        <v>203</v>
      </c>
      <c r="Z101" s="98">
        <f>AC97+AI97</f>
        <v>2571500</v>
      </c>
    </row>
    <row r="102" spans="1:35" s="1" customFormat="1" ht="16" thickBot="1" x14ac:dyDescent="0.25"/>
    <row r="104" spans="1:35" ht="26" x14ac:dyDescent="0.3">
      <c r="A104" s="189" t="s">
        <v>213</v>
      </c>
      <c r="B104" s="103"/>
      <c r="C104" s="103"/>
      <c r="D104" s="103"/>
      <c r="E104" s="103"/>
      <c r="F104" s="103"/>
      <c r="G104" s="103"/>
      <c r="H104" s="103"/>
      <c r="I104" s="103"/>
      <c r="J104" s="103"/>
      <c r="K104" s="103"/>
    </row>
    <row r="105" spans="1:35" x14ac:dyDescent="0.2">
      <c r="A105" s="103"/>
      <c r="B105" s="103" t="s">
        <v>199</v>
      </c>
      <c r="C105" s="103" t="s">
        <v>200</v>
      </c>
      <c r="D105" s="104" t="s">
        <v>111</v>
      </c>
      <c r="E105" s="103"/>
      <c r="F105" s="103"/>
      <c r="G105" s="103"/>
      <c r="H105" s="103"/>
      <c r="I105" s="103"/>
      <c r="J105" s="104"/>
      <c r="K105" s="103"/>
    </row>
    <row r="106" spans="1:35" x14ac:dyDescent="0.2">
      <c r="A106" s="103" t="s">
        <v>1</v>
      </c>
      <c r="B106" s="105">
        <f>R38</f>
        <v>0</v>
      </c>
      <c r="C106" s="105">
        <f>B106*D106</f>
        <v>0</v>
      </c>
      <c r="D106" s="104">
        <v>10</v>
      </c>
      <c r="E106" s="103"/>
      <c r="F106" s="103"/>
      <c r="G106" s="103"/>
      <c r="H106" s="105"/>
      <c r="I106" s="105"/>
      <c r="J106" s="104"/>
      <c r="K106" s="103"/>
    </row>
    <row r="107" spans="1:35" x14ac:dyDescent="0.2">
      <c r="A107" s="103" t="s">
        <v>2</v>
      </c>
      <c r="B107" s="105">
        <f>S38</f>
        <v>25000</v>
      </c>
      <c r="C107" s="105">
        <f>B107*D107</f>
        <v>500000</v>
      </c>
      <c r="D107" s="104">
        <v>20</v>
      </c>
      <c r="E107" s="103"/>
      <c r="F107" s="103"/>
      <c r="G107" s="103"/>
      <c r="H107" s="105"/>
      <c r="I107" s="105"/>
      <c r="J107" s="104"/>
      <c r="K107" s="103"/>
    </row>
    <row r="108" spans="1:35" x14ac:dyDescent="0.2">
      <c r="A108" s="103" t="s">
        <v>3</v>
      </c>
      <c r="B108" s="105">
        <f>T38</f>
        <v>1800</v>
      </c>
      <c r="C108" s="105">
        <f>B108*D108</f>
        <v>90000</v>
      </c>
      <c r="D108" s="104">
        <v>50</v>
      </c>
      <c r="E108" s="103"/>
      <c r="F108" s="103"/>
      <c r="G108" s="103"/>
      <c r="H108" s="105"/>
      <c r="I108" s="105"/>
      <c r="J108" s="104"/>
      <c r="K108" s="103"/>
    </row>
    <row r="109" spans="1:35" x14ac:dyDescent="0.2">
      <c r="A109" s="103" t="s">
        <v>33</v>
      </c>
      <c r="B109" s="105">
        <f>U38</f>
        <v>0</v>
      </c>
      <c r="C109" s="105">
        <f>B109*D109</f>
        <v>0</v>
      </c>
      <c r="D109" s="104">
        <v>10</v>
      </c>
      <c r="E109" s="103"/>
      <c r="F109" s="103"/>
      <c r="G109" s="103"/>
      <c r="H109" s="105"/>
      <c r="I109" s="105"/>
      <c r="J109" s="104"/>
      <c r="K109" s="103"/>
    </row>
    <row r="110" spans="1:35" x14ac:dyDescent="0.2">
      <c r="A110" s="103" t="s">
        <v>5</v>
      </c>
      <c r="B110" s="105">
        <f>V38</f>
        <v>7350</v>
      </c>
      <c r="C110" s="105">
        <f>B110*D110</f>
        <v>147000</v>
      </c>
      <c r="D110" s="104">
        <v>20</v>
      </c>
      <c r="E110" s="103"/>
      <c r="F110" s="103"/>
      <c r="G110" s="103"/>
      <c r="H110" s="105"/>
      <c r="I110" s="105"/>
      <c r="J110" s="104"/>
      <c r="K110" s="103"/>
    </row>
    <row r="111" spans="1:35" x14ac:dyDescent="0.2">
      <c r="A111" s="103"/>
      <c r="B111" s="103"/>
      <c r="C111" s="103"/>
      <c r="D111" s="103"/>
      <c r="E111" s="103" t="s">
        <v>93</v>
      </c>
      <c r="F111" s="103"/>
      <c r="G111" s="103"/>
      <c r="H111" s="103"/>
      <c r="I111" s="103"/>
      <c r="J111" s="103"/>
      <c r="K111" s="103"/>
    </row>
    <row r="112" spans="1:35" x14ac:dyDescent="0.2">
      <c r="A112" s="103"/>
      <c r="B112" s="103"/>
      <c r="C112" s="103"/>
      <c r="D112" s="103"/>
      <c r="E112" s="110">
        <f>SUM(C106:C110)</f>
        <v>737000</v>
      </c>
      <c r="F112" s="103"/>
      <c r="G112" s="103"/>
      <c r="H112" s="103"/>
      <c r="I112" s="103"/>
      <c r="J112" s="103"/>
      <c r="K112" s="110"/>
    </row>
    <row r="113" spans="1:11" x14ac:dyDescent="0.2">
      <c r="A113" s="103"/>
      <c r="B113" s="103"/>
      <c r="C113" s="103"/>
      <c r="D113" s="103"/>
      <c r="E113" s="103"/>
      <c r="F113" s="103"/>
      <c r="G113" s="103"/>
      <c r="H113" s="103"/>
      <c r="I113" s="103"/>
      <c r="J113" s="103"/>
      <c r="K113" s="103"/>
    </row>
    <row r="114" spans="1:11" x14ac:dyDescent="0.2">
      <c r="A114" s="103"/>
      <c r="B114" s="103"/>
      <c r="C114" s="103"/>
      <c r="D114" s="103"/>
      <c r="E114" s="103" t="s">
        <v>201</v>
      </c>
      <c r="F114" s="103"/>
      <c r="G114" s="103"/>
      <c r="H114" s="103"/>
      <c r="I114" s="103"/>
      <c r="J114" s="103"/>
      <c r="K114" s="103"/>
    </row>
    <row r="115" spans="1:11" x14ac:dyDescent="0.2">
      <c r="A115" s="103"/>
      <c r="B115" s="103" t="s">
        <v>202</v>
      </c>
      <c r="C115" s="103"/>
      <c r="D115" s="103"/>
      <c r="E115" s="103"/>
      <c r="F115" s="103"/>
      <c r="G115" s="103"/>
      <c r="H115" s="103"/>
      <c r="I115" s="103"/>
      <c r="J115" s="103"/>
      <c r="K115" s="103"/>
    </row>
    <row r="116" spans="1:11" x14ac:dyDescent="0.2">
      <c r="A116" s="103" t="s">
        <v>214</v>
      </c>
      <c r="B116" s="108">
        <f>SUM(E112,K112)</f>
        <v>737000</v>
      </c>
      <c r="C116" s="103"/>
      <c r="D116" s="103"/>
      <c r="E116" s="103"/>
      <c r="F116" s="103"/>
      <c r="G116" s="103"/>
      <c r="H116" s="103"/>
      <c r="I116" s="103"/>
      <c r="J116" s="103"/>
      <c r="K116" s="103"/>
    </row>
  </sheetData>
  <mergeCells count="3">
    <mergeCell ref="Q26:V26"/>
    <mergeCell ref="Q27:V27"/>
    <mergeCell ref="Q41:R4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385C-D958-4E15-BA56-D72C2AC911AB}">
  <dimension ref="B4:S11"/>
  <sheetViews>
    <sheetView topLeftCell="B9" workbookViewId="0">
      <selection activeCell="B9" sqref="B9"/>
    </sheetView>
  </sheetViews>
  <sheetFormatPr baseColWidth="10" defaultColWidth="8.83203125" defaultRowHeight="15" x14ac:dyDescent="0.2"/>
  <cols>
    <col min="2" max="2" width="18.1640625" customWidth="1"/>
    <col min="4" max="4" width="21.33203125" customWidth="1"/>
    <col min="5" max="5" width="15.5" customWidth="1"/>
    <col min="6" max="6" width="8.5" customWidth="1"/>
    <col min="7" max="7" width="4" bestFit="1" customWidth="1"/>
    <col min="8" max="8" width="16" bestFit="1" customWidth="1"/>
    <col min="9" max="9" width="20.33203125" customWidth="1"/>
    <col min="10" max="10" width="4.33203125" bestFit="1" customWidth="1"/>
    <col min="11" max="11" width="5.1640625" bestFit="1" customWidth="1"/>
    <col min="12" max="12" width="4.1640625" bestFit="1" customWidth="1"/>
    <col min="13" max="13" width="3.5" bestFit="1" customWidth="1"/>
    <col min="14" max="14" width="9.1640625" customWidth="1"/>
    <col min="15" max="15" width="18" bestFit="1" customWidth="1"/>
    <col min="16" max="16" width="8.1640625" customWidth="1"/>
    <col min="17" max="17" width="8" bestFit="1" customWidth="1"/>
    <col min="18" max="18" width="18" bestFit="1" customWidth="1"/>
  </cols>
  <sheetData>
    <row r="4" spans="2:19" ht="26" x14ac:dyDescent="0.3">
      <c r="B4" s="254" t="s">
        <v>45</v>
      </c>
      <c r="C4" s="255"/>
      <c r="D4" s="255"/>
      <c r="E4" s="255"/>
      <c r="F4" s="255"/>
      <c r="G4" s="255"/>
      <c r="H4" s="255"/>
      <c r="I4" s="255"/>
      <c r="J4" s="255"/>
      <c r="K4" s="255"/>
      <c r="L4" s="255"/>
      <c r="M4" s="255"/>
      <c r="N4" s="255"/>
      <c r="O4" s="255"/>
      <c r="P4" s="255"/>
      <c r="Q4" s="255"/>
      <c r="R4" s="255"/>
      <c r="S4" s="256"/>
    </row>
    <row r="5" spans="2:19" ht="31.5" customHeight="1" x14ac:dyDescent="0.2">
      <c r="B5" s="53" t="s">
        <v>48</v>
      </c>
      <c r="C5" s="54" t="s">
        <v>49</v>
      </c>
      <c r="D5" s="55" t="s">
        <v>51</v>
      </c>
      <c r="E5" s="56" t="s">
        <v>52</v>
      </c>
      <c r="F5" s="56" t="s">
        <v>53</v>
      </c>
      <c r="G5" s="55" t="s">
        <v>54</v>
      </c>
      <c r="H5" s="56" t="s">
        <v>55</v>
      </c>
      <c r="I5" s="56" t="s">
        <v>56</v>
      </c>
      <c r="J5" s="55" t="s">
        <v>57</v>
      </c>
      <c r="K5" s="56" t="s">
        <v>58</v>
      </c>
      <c r="L5" s="56" t="s">
        <v>59</v>
      </c>
      <c r="M5" s="55" t="s">
        <v>60</v>
      </c>
      <c r="N5" s="217" t="s">
        <v>61</v>
      </c>
      <c r="O5" s="56" t="s">
        <v>62</v>
      </c>
      <c r="P5" s="55" t="s">
        <v>51</v>
      </c>
      <c r="Q5" s="56" t="s">
        <v>52</v>
      </c>
      <c r="R5" s="56" t="s">
        <v>53</v>
      </c>
    </row>
    <row r="6" spans="2:19" ht="26.25" customHeight="1" x14ac:dyDescent="0.2">
      <c r="B6" s="52" t="s">
        <v>215</v>
      </c>
      <c r="C6" s="51">
        <v>10</v>
      </c>
      <c r="D6" s="257" t="s">
        <v>216</v>
      </c>
      <c r="E6" s="216" t="s">
        <v>217</v>
      </c>
      <c r="F6" s="269" t="s">
        <v>218</v>
      </c>
      <c r="G6" s="270"/>
      <c r="H6" s="270"/>
      <c r="I6" s="270"/>
      <c r="J6" s="270"/>
      <c r="K6" s="270"/>
      <c r="L6" s="270"/>
      <c r="M6" s="270"/>
      <c r="N6" s="218"/>
      <c r="O6" s="262" t="s">
        <v>68</v>
      </c>
      <c r="P6" s="58"/>
      <c r="Q6" s="259" t="s">
        <v>67</v>
      </c>
      <c r="R6" s="264" t="s">
        <v>69</v>
      </c>
    </row>
    <row r="7" spans="2:19" ht="32" x14ac:dyDescent="0.2">
      <c r="B7" s="52" t="s">
        <v>219</v>
      </c>
      <c r="C7" s="51">
        <v>7</v>
      </c>
      <c r="D7" s="257"/>
      <c r="E7" s="291" t="s">
        <v>220</v>
      </c>
      <c r="F7" s="267"/>
      <c r="G7" s="268"/>
      <c r="H7" s="216" t="s">
        <v>221</v>
      </c>
      <c r="I7" s="269" t="s">
        <v>222</v>
      </c>
      <c r="J7" s="270"/>
      <c r="K7" s="270"/>
      <c r="L7" s="270"/>
      <c r="M7" s="270"/>
      <c r="N7" s="218"/>
      <c r="O7" s="262"/>
      <c r="P7" s="58"/>
      <c r="Q7" s="260"/>
      <c r="R7" s="264"/>
    </row>
    <row r="8" spans="2:19" ht="32" x14ac:dyDescent="0.2">
      <c r="B8" s="52" t="s">
        <v>223</v>
      </c>
      <c r="C8" s="51">
        <v>8</v>
      </c>
      <c r="D8" s="257"/>
      <c r="E8" s="216" t="s">
        <v>224</v>
      </c>
      <c r="F8" s="269" t="s">
        <v>225</v>
      </c>
      <c r="G8" s="270"/>
      <c r="H8" s="270"/>
      <c r="I8" s="270"/>
      <c r="J8" s="270"/>
      <c r="K8" s="270"/>
      <c r="L8" s="270"/>
      <c r="M8" s="270"/>
      <c r="N8" s="218"/>
      <c r="O8" s="262"/>
      <c r="P8" s="58"/>
      <c r="Q8" s="260"/>
      <c r="R8" s="264"/>
    </row>
    <row r="9" spans="2:19" ht="32" x14ac:dyDescent="0.2">
      <c r="B9" s="52" t="s">
        <v>226</v>
      </c>
      <c r="C9" s="51">
        <v>10</v>
      </c>
      <c r="D9" s="257"/>
      <c r="E9" s="222" t="s">
        <v>224</v>
      </c>
      <c r="F9" s="269" t="s">
        <v>227</v>
      </c>
      <c r="G9" s="270"/>
      <c r="H9" s="270"/>
      <c r="I9" s="270"/>
      <c r="J9" s="270"/>
      <c r="K9" s="270"/>
      <c r="L9" s="270"/>
      <c r="M9" s="270"/>
      <c r="N9" s="218"/>
      <c r="O9" s="262"/>
      <c r="P9" s="58"/>
      <c r="Q9" s="260"/>
      <c r="R9" s="264"/>
    </row>
    <row r="10" spans="2:19" ht="32" x14ac:dyDescent="0.2">
      <c r="B10" s="219" t="s">
        <v>228</v>
      </c>
      <c r="C10" s="220"/>
      <c r="D10" s="288"/>
      <c r="E10" s="222" t="s">
        <v>224</v>
      </c>
      <c r="F10" s="221"/>
      <c r="G10" s="221"/>
      <c r="H10" s="71"/>
      <c r="I10" s="71"/>
      <c r="J10" s="71"/>
      <c r="K10" s="71"/>
      <c r="L10" s="71"/>
      <c r="M10" s="71"/>
      <c r="N10" s="218"/>
      <c r="O10" s="259"/>
      <c r="P10" s="215"/>
      <c r="Q10" s="260"/>
      <c r="R10" s="290"/>
    </row>
    <row r="11" spans="2:19" ht="32" x14ac:dyDescent="0.2">
      <c r="B11" s="59" t="s">
        <v>229</v>
      </c>
      <c r="C11" s="60">
        <v>5</v>
      </c>
      <c r="D11" s="289"/>
      <c r="E11" s="286" t="s">
        <v>230</v>
      </c>
      <c r="F11" s="287"/>
      <c r="G11" s="287"/>
      <c r="H11" s="223" t="s">
        <v>231</v>
      </c>
      <c r="I11" s="269" t="s">
        <v>232</v>
      </c>
      <c r="J11" s="270"/>
      <c r="K11" s="270"/>
      <c r="L11" s="270"/>
      <c r="M11" s="270"/>
      <c r="N11" s="218"/>
      <c r="O11" s="263"/>
      <c r="P11" s="61"/>
      <c r="Q11" s="261"/>
      <c r="R11" s="265"/>
    </row>
  </sheetData>
  <mergeCells count="12">
    <mergeCell ref="F9:M9"/>
    <mergeCell ref="E11:G11"/>
    <mergeCell ref="I11:M11"/>
    <mergeCell ref="B4:S4"/>
    <mergeCell ref="D6:D11"/>
    <mergeCell ref="F6:M6"/>
    <mergeCell ref="O6:O11"/>
    <mergeCell ref="Q6:Q11"/>
    <mergeCell ref="R6:R11"/>
    <mergeCell ref="E7:G7"/>
    <mergeCell ref="I7:M7"/>
    <mergeCell ref="F8:M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20"/>
  <sheetViews>
    <sheetView zoomScale="119" zoomScaleNormal="80" workbookViewId="0">
      <selection activeCell="B4" sqref="B4"/>
    </sheetView>
  </sheetViews>
  <sheetFormatPr baseColWidth="10" defaultColWidth="9.1640625" defaultRowHeight="15" x14ac:dyDescent="0.2"/>
  <cols>
    <col min="1" max="1" width="9.1640625" style="2"/>
    <col min="2" max="2" width="30.6640625" style="50" bestFit="1" customWidth="1"/>
    <col min="3" max="3" width="10.1640625" style="50" bestFit="1" customWidth="1"/>
    <col min="4" max="4" width="17" style="50" customWidth="1"/>
    <col min="5" max="5" width="13.5" style="50" bestFit="1" customWidth="1"/>
    <col min="6" max="6" width="19.1640625" style="50" customWidth="1"/>
    <col min="7" max="8" width="9.1640625" style="50"/>
    <col min="9" max="9" width="13.5" style="2" bestFit="1" customWidth="1"/>
    <col min="10" max="16384" width="9.1640625" style="2"/>
  </cols>
  <sheetData>
    <row r="1" spans="2:18" ht="15.75" customHeight="1" thickBot="1" x14ac:dyDescent="0.25"/>
    <row r="2" spans="2:18" ht="32.25" customHeight="1" thickBot="1" x14ac:dyDescent="0.25">
      <c r="B2" s="292" t="s">
        <v>233</v>
      </c>
      <c r="C2" s="293"/>
      <c r="D2" s="294"/>
      <c r="E2" s="294"/>
      <c r="F2" s="294"/>
      <c r="G2" s="294"/>
      <c r="H2" s="295"/>
      <c r="J2" s="2">
        <v>0.25</v>
      </c>
      <c r="K2" s="2">
        <v>0.35</v>
      </c>
      <c r="L2" s="2">
        <v>0.4</v>
      </c>
    </row>
    <row r="3" spans="2:18" ht="48" x14ac:dyDescent="0.2">
      <c r="B3" s="46" t="s">
        <v>181</v>
      </c>
      <c r="C3" s="47" t="s">
        <v>11</v>
      </c>
      <c r="D3" s="47" t="s">
        <v>234</v>
      </c>
      <c r="E3" s="48" t="s">
        <v>235</v>
      </c>
      <c r="F3" s="48" t="s">
        <v>236</v>
      </c>
      <c r="G3" s="48" t="s">
        <v>237</v>
      </c>
      <c r="H3" s="49" t="s">
        <v>197</v>
      </c>
      <c r="I3" s="48" t="s">
        <v>105</v>
      </c>
      <c r="J3" s="113" t="s">
        <v>238</v>
      </c>
      <c r="K3" s="114" t="s">
        <v>239</v>
      </c>
      <c r="L3" s="115" t="s">
        <v>240</v>
      </c>
    </row>
    <row r="4" spans="2:18" x14ac:dyDescent="0.2">
      <c r="B4" s="80" t="s">
        <v>15</v>
      </c>
      <c r="C4" s="81" t="s">
        <v>16</v>
      </c>
      <c r="D4" s="81" t="s">
        <v>118</v>
      </c>
      <c r="E4" s="82">
        <v>2568214</v>
      </c>
      <c r="F4" s="81">
        <v>2</v>
      </c>
      <c r="G4" s="81">
        <v>1</v>
      </c>
      <c r="H4" s="83">
        <v>0.86</v>
      </c>
      <c r="I4" s="111">
        <v>1.2</v>
      </c>
      <c r="J4" s="116">
        <f t="shared" ref="J4:J14" si="0">I4-0.25</f>
        <v>0.95</v>
      </c>
      <c r="K4" s="117">
        <f>I4-0.35</f>
        <v>0.85</v>
      </c>
      <c r="L4" s="118"/>
      <c r="N4" s="2" t="s">
        <v>241</v>
      </c>
    </row>
    <row r="5" spans="2:18" x14ac:dyDescent="0.2">
      <c r="B5" s="80" t="s">
        <v>29</v>
      </c>
      <c r="C5" s="81" t="s">
        <v>30</v>
      </c>
      <c r="D5" s="81" t="s">
        <v>118</v>
      </c>
      <c r="E5" s="82">
        <v>4586521</v>
      </c>
      <c r="F5" s="81">
        <v>2</v>
      </c>
      <c r="G5" s="81">
        <v>2</v>
      </c>
      <c r="H5" s="83">
        <v>0.88</v>
      </c>
      <c r="I5" s="111">
        <v>1.1499999999999999</v>
      </c>
      <c r="J5" s="116">
        <f t="shared" si="0"/>
        <v>0.89999999999999991</v>
      </c>
      <c r="K5" s="117">
        <f t="shared" ref="K5:K14" si="1">I5-0.35</f>
        <v>0.79999999999999993</v>
      </c>
      <c r="L5" s="118"/>
    </row>
    <row r="6" spans="2:18" x14ac:dyDescent="0.2">
      <c r="B6" s="73" t="s">
        <v>31</v>
      </c>
      <c r="C6" s="74" t="s">
        <v>18</v>
      </c>
      <c r="D6" s="74" t="s">
        <v>118</v>
      </c>
      <c r="E6" s="75">
        <v>2563542</v>
      </c>
      <c r="F6" s="74">
        <v>2</v>
      </c>
      <c r="G6" s="74">
        <v>4</v>
      </c>
      <c r="H6" s="76">
        <v>0.87</v>
      </c>
      <c r="I6" s="112">
        <v>1.33</v>
      </c>
      <c r="J6" s="116">
        <f t="shared" si="0"/>
        <v>1.08</v>
      </c>
      <c r="K6" s="117">
        <f t="shared" si="1"/>
        <v>0.98000000000000009</v>
      </c>
      <c r="L6" s="118"/>
    </row>
    <row r="7" spans="2:18" x14ac:dyDescent="0.2">
      <c r="B7" s="203" t="s">
        <v>8</v>
      </c>
      <c r="C7" s="204" t="s">
        <v>9</v>
      </c>
      <c r="D7" s="204" t="s">
        <v>118</v>
      </c>
      <c r="E7" s="205">
        <v>6523521</v>
      </c>
      <c r="F7" s="204">
        <v>2</v>
      </c>
      <c r="G7" s="204">
        <v>2</v>
      </c>
      <c r="H7" s="206">
        <v>0.89</v>
      </c>
      <c r="I7" s="207">
        <v>1.1100000000000001</v>
      </c>
      <c r="J7" s="116">
        <f t="shared" si="0"/>
        <v>0.8600000000000001</v>
      </c>
      <c r="K7" s="117">
        <f t="shared" si="1"/>
        <v>0.76000000000000012</v>
      </c>
      <c r="L7" s="118"/>
    </row>
    <row r="8" spans="2:18" x14ac:dyDescent="0.2">
      <c r="B8" s="73" t="s">
        <v>19</v>
      </c>
      <c r="C8" s="74" t="s">
        <v>20</v>
      </c>
      <c r="D8" s="74" t="s">
        <v>118</v>
      </c>
      <c r="E8" s="75">
        <v>1525685</v>
      </c>
      <c r="F8" s="74">
        <v>3</v>
      </c>
      <c r="G8" s="74">
        <v>2</v>
      </c>
      <c r="H8" s="76">
        <v>0.88</v>
      </c>
      <c r="I8" s="112">
        <v>1.46</v>
      </c>
      <c r="J8" s="116">
        <f t="shared" si="0"/>
        <v>1.21</v>
      </c>
      <c r="K8" s="117">
        <f t="shared" si="1"/>
        <v>1.1099999999999999</v>
      </c>
      <c r="L8" s="118"/>
    </row>
    <row r="9" spans="2:18" x14ac:dyDescent="0.2">
      <c r="B9" s="73" t="s">
        <v>21</v>
      </c>
      <c r="C9" s="74" t="s">
        <v>22</v>
      </c>
      <c r="D9" s="74" t="s">
        <v>118</v>
      </c>
      <c r="E9" s="75">
        <v>3251526</v>
      </c>
      <c r="F9" s="74">
        <v>3</v>
      </c>
      <c r="G9" s="74">
        <v>5</v>
      </c>
      <c r="H9" s="76">
        <v>0.86</v>
      </c>
      <c r="I9" s="112">
        <v>1.35</v>
      </c>
      <c r="J9" s="116">
        <f t="shared" si="0"/>
        <v>1.1000000000000001</v>
      </c>
      <c r="K9" s="117">
        <f t="shared" si="1"/>
        <v>1</v>
      </c>
      <c r="L9" s="118"/>
    </row>
    <row r="10" spans="2:18" x14ac:dyDescent="0.2">
      <c r="B10" s="203" t="s">
        <v>13</v>
      </c>
      <c r="C10" s="204" t="s">
        <v>14</v>
      </c>
      <c r="D10" s="204" t="s">
        <v>118</v>
      </c>
      <c r="E10" s="205">
        <v>1235895</v>
      </c>
      <c r="F10" s="204">
        <v>1</v>
      </c>
      <c r="G10" s="204">
        <v>2</v>
      </c>
      <c r="H10" s="206">
        <v>0.89</v>
      </c>
      <c r="I10" s="112">
        <v>1.33</v>
      </c>
      <c r="J10" s="116">
        <f t="shared" si="0"/>
        <v>1.08</v>
      </c>
      <c r="K10" s="117">
        <f t="shared" si="1"/>
        <v>0.98000000000000009</v>
      </c>
      <c r="L10" s="119"/>
    </row>
    <row r="11" spans="2:18" x14ac:dyDescent="0.2">
      <c r="B11" s="80" t="s">
        <v>23</v>
      </c>
      <c r="C11" s="81" t="s">
        <v>24</v>
      </c>
      <c r="D11" s="81" t="s">
        <v>118</v>
      </c>
      <c r="E11" s="82">
        <v>4245856</v>
      </c>
      <c r="F11" s="81">
        <v>1</v>
      </c>
      <c r="G11" s="81">
        <v>2</v>
      </c>
      <c r="H11" s="83">
        <v>0.91</v>
      </c>
      <c r="I11" s="200">
        <v>1.1200000000000001</v>
      </c>
      <c r="J11" s="208">
        <f t="shared" si="0"/>
        <v>0.87000000000000011</v>
      </c>
      <c r="K11" s="117">
        <f t="shared" si="1"/>
        <v>0.77000000000000013</v>
      </c>
      <c r="L11" s="119"/>
      <c r="Q11" s="2" t="s">
        <v>13</v>
      </c>
      <c r="R11" s="2" t="s">
        <v>14</v>
      </c>
    </row>
    <row r="12" spans="2:18" x14ac:dyDescent="0.2">
      <c r="B12" s="203" t="s">
        <v>17</v>
      </c>
      <c r="C12" s="204" t="s">
        <v>18</v>
      </c>
      <c r="D12" s="204" t="s">
        <v>118</v>
      </c>
      <c r="E12" s="205">
        <v>3452685</v>
      </c>
      <c r="F12" s="204">
        <v>1</v>
      </c>
      <c r="G12" s="204">
        <v>3</v>
      </c>
      <c r="H12" s="206">
        <v>0.85</v>
      </c>
      <c r="I12" s="207">
        <v>1.19</v>
      </c>
      <c r="J12" s="116">
        <f t="shared" si="0"/>
        <v>0.94</v>
      </c>
      <c r="K12" s="117">
        <f t="shared" si="1"/>
        <v>0.84</v>
      </c>
      <c r="L12" s="118"/>
      <c r="Q12" s="2" t="s">
        <v>8</v>
      </c>
      <c r="R12" s="2" t="s">
        <v>9</v>
      </c>
    </row>
    <row r="13" spans="2:18" x14ac:dyDescent="0.2">
      <c r="B13" s="73" t="s">
        <v>25</v>
      </c>
      <c r="C13" s="74" t="s">
        <v>26</v>
      </c>
      <c r="D13" s="74" t="s">
        <v>118</v>
      </c>
      <c r="E13" s="75">
        <v>2356856</v>
      </c>
      <c r="F13" s="74">
        <v>2</v>
      </c>
      <c r="G13" s="74">
        <v>4</v>
      </c>
      <c r="H13" s="76">
        <v>0.78</v>
      </c>
      <c r="I13" s="112">
        <v>1.38</v>
      </c>
      <c r="J13" s="116">
        <f t="shared" si="0"/>
        <v>1.1299999999999999</v>
      </c>
      <c r="K13" s="117">
        <f t="shared" si="1"/>
        <v>1.0299999999999998</v>
      </c>
      <c r="L13" s="119"/>
      <c r="Q13" s="2" t="s">
        <v>23</v>
      </c>
      <c r="R13" s="2" t="s">
        <v>24</v>
      </c>
    </row>
    <row r="14" spans="2:18" x14ac:dyDescent="0.2">
      <c r="B14" s="229" t="s">
        <v>27</v>
      </c>
      <c r="C14" s="230" t="s">
        <v>28</v>
      </c>
      <c r="D14" s="230" t="s">
        <v>118</v>
      </c>
      <c r="E14" s="231">
        <v>2523851</v>
      </c>
      <c r="F14" s="230">
        <v>1</v>
      </c>
      <c r="G14" s="230">
        <v>2</v>
      </c>
      <c r="H14" s="232">
        <v>0.94</v>
      </c>
      <c r="I14" s="233">
        <v>1.17</v>
      </c>
      <c r="J14" s="116">
        <f t="shared" si="0"/>
        <v>0.91999999999999993</v>
      </c>
      <c r="K14" s="117">
        <f t="shared" si="1"/>
        <v>0.82</v>
      </c>
      <c r="L14" s="209"/>
    </row>
    <row r="16" spans="2:18" ht="32" thickBot="1" x14ac:dyDescent="0.5">
      <c r="B16" s="251" t="s">
        <v>242</v>
      </c>
      <c r="C16" s="282"/>
      <c r="D16" s="282"/>
      <c r="E16" s="282"/>
      <c r="F16" s="282"/>
      <c r="G16" s="282"/>
      <c r="H16" s="282"/>
      <c r="I16" s="282"/>
      <c r="J16" s="282"/>
      <c r="K16" s="282"/>
      <c r="L16" s="282"/>
      <c r="M16" s="252"/>
      <c r="N16" s="30" t="s">
        <v>243</v>
      </c>
      <c r="O16" s="31">
        <v>0.6</v>
      </c>
    </row>
    <row r="17" spans="2:13" x14ac:dyDescent="0.2">
      <c r="B17" s="296" t="s">
        <v>244</v>
      </c>
      <c r="C17" s="297"/>
      <c r="D17" s="297"/>
      <c r="E17" s="297"/>
      <c r="F17" s="297"/>
      <c r="G17" s="297"/>
      <c r="H17" s="297"/>
      <c r="I17" s="297"/>
      <c r="J17" s="297"/>
      <c r="K17" s="297"/>
      <c r="L17" s="297"/>
      <c r="M17" s="298"/>
    </row>
    <row r="18" spans="2:13" x14ac:dyDescent="0.2">
      <c r="B18" s="299"/>
      <c r="C18" s="300"/>
      <c r="D18" s="300"/>
      <c r="E18" s="300"/>
      <c r="F18" s="300"/>
      <c r="G18" s="300"/>
      <c r="H18" s="300"/>
      <c r="I18" s="300"/>
      <c r="J18" s="300"/>
      <c r="K18" s="300"/>
      <c r="L18" s="300"/>
      <c r="M18" s="301"/>
    </row>
    <row r="19" spans="2:13" ht="80" x14ac:dyDescent="0.2">
      <c r="B19" s="9" t="s">
        <v>245</v>
      </c>
      <c r="C19" s="10" t="s">
        <v>236</v>
      </c>
      <c r="D19" s="10" t="s">
        <v>246</v>
      </c>
      <c r="E19" s="10" t="s">
        <v>247</v>
      </c>
      <c r="F19" s="10" t="s">
        <v>248</v>
      </c>
      <c r="G19" s="10" t="s">
        <v>237</v>
      </c>
      <c r="H19" s="11" t="s">
        <v>249</v>
      </c>
      <c r="I19" s="11" t="s">
        <v>250</v>
      </c>
      <c r="J19" s="11" t="s">
        <v>251</v>
      </c>
      <c r="K19" s="10" t="s">
        <v>197</v>
      </c>
      <c r="L19" s="11" t="s">
        <v>252</v>
      </c>
      <c r="M19" s="12" t="s">
        <v>105</v>
      </c>
    </row>
    <row r="20" spans="2:13" ht="16" thickBot="1" x14ac:dyDescent="0.25">
      <c r="B20" s="13">
        <v>2000000</v>
      </c>
      <c r="C20" s="14">
        <v>1</v>
      </c>
      <c r="D20" s="1">
        <f>E20/B20*1000000</f>
        <v>4</v>
      </c>
      <c r="E20" s="1">
        <f>C20*8</f>
        <v>8</v>
      </c>
      <c r="F20" s="8">
        <f>IF(D20&gt;40,66,D20/O16)/100</f>
        <v>6.6666666666666666E-2</v>
      </c>
      <c r="G20" s="15">
        <v>2</v>
      </c>
      <c r="H20" s="1">
        <f>G20*7</f>
        <v>14</v>
      </c>
      <c r="I20" s="8">
        <f>H20/B20*1000000</f>
        <v>7</v>
      </c>
      <c r="J20" s="8">
        <f>IF(I20&gt;40,66,I20/O16)/100</f>
        <v>0.11666666666666668</v>
      </c>
      <c r="K20" s="16">
        <v>0.89</v>
      </c>
      <c r="L20" s="8">
        <f>(1-K20)/3</f>
        <v>3.666666666666666E-2</v>
      </c>
      <c r="M20" s="17">
        <f>1+F20+J20+L20</f>
        <v>1.22</v>
      </c>
    </row>
  </sheetData>
  <sortState xmlns:xlrd2="http://schemas.microsoft.com/office/spreadsheetml/2017/richdata2" ref="B4:I14">
    <sortCondition ref="B4:B14"/>
  </sortState>
  <mergeCells count="3">
    <mergeCell ref="B2:H2"/>
    <mergeCell ref="B16:M16"/>
    <mergeCell ref="B17:M18"/>
  </mergeCells>
  <phoneticPr fontId="14" type="noConversion"/>
  <conditionalFormatting sqref="J4:J14">
    <cfRule type="cellIs" dxfId="7" priority="2" operator="lessThan">
      <formula>1</formula>
    </cfRule>
  </conditionalFormatting>
  <conditionalFormatting sqref="K4:K14">
    <cfRule type="cellIs" dxfId="6" priority="1" operator="lessThan">
      <formula>1</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CA363-5D08-49EC-891C-1AAC4AB167BF}">
  <dimension ref="A1:AG28"/>
  <sheetViews>
    <sheetView workbookViewId="0">
      <selection activeCell="AF18" sqref="AF18"/>
    </sheetView>
  </sheetViews>
  <sheetFormatPr baseColWidth="10" defaultColWidth="8.83203125" defaultRowHeight="15" x14ac:dyDescent="0.2"/>
  <cols>
    <col min="1" max="1" width="10.83203125" customWidth="1"/>
    <col min="4" max="4" width="12" customWidth="1"/>
    <col min="7" max="7" width="13.1640625" customWidth="1"/>
    <col min="17" max="17" width="11.5" customWidth="1"/>
  </cols>
  <sheetData>
    <row r="1" spans="1:33" ht="64" x14ac:dyDescent="0.2">
      <c r="A1" s="123" t="s">
        <v>10</v>
      </c>
      <c r="B1" s="124" t="s">
        <v>1</v>
      </c>
      <c r="C1" s="125" t="s">
        <v>253</v>
      </c>
      <c r="D1" s="123" t="s">
        <v>10</v>
      </c>
      <c r="E1" s="124" t="s">
        <v>3</v>
      </c>
      <c r="F1" s="125" t="s">
        <v>253</v>
      </c>
      <c r="G1" s="123" t="s">
        <v>10</v>
      </c>
      <c r="H1" s="126" t="s">
        <v>5</v>
      </c>
      <c r="L1" s="127" t="s">
        <v>139</v>
      </c>
      <c r="M1" s="128" t="s">
        <v>141</v>
      </c>
      <c r="S1" s="68" t="s">
        <v>1</v>
      </c>
      <c r="T1" s="68" t="s">
        <v>2</v>
      </c>
      <c r="U1" s="68" t="s">
        <v>3</v>
      </c>
      <c r="V1" s="68" t="s">
        <v>4</v>
      </c>
      <c r="W1" s="69" t="s">
        <v>5</v>
      </c>
      <c r="AA1" t="s">
        <v>0</v>
      </c>
      <c r="AC1" s="68" t="s">
        <v>1</v>
      </c>
      <c r="AD1" s="68" t="s">
        <v>2</v>
      </c>
      <c r="AE1" s="68" t="s">
        <v>3</v>
      </c>
      <c r="AF1" s="68" t="s">
        <v>4</v>
      </c>
      <c r="AG1" s="69" t="s">
        <v>5</v>
      </c>
    </row>
    <row r="2" spans="1:33" x14ac:dyDescent="0.2">
      <c r="A2" s="129" t="s">
        <v>19</v>
      </c>
      <c r="B2" s="130">
        <v>194</v>
      </c>
      <c r="C2" s="125" t="s">
        <v>253</v>
      </c>
      <c r="D2" s="127" t="s">
        <v>25</v>
      </c>
      <c r="E2" s="131">
        <v>88</v>
      </c>
      <c r="F2" s="125" t="s">
        <v>253</v>
      </c>
      <c r="G2" s="132" t="s">
        <v>8</v>
      </c>
      <c r="H2" s="133">
        <v>125</v>
      </c>
      <c r="L2" s="127" t="s">
        <v>144</v>
      </c>
      <c r="M2" s="134">
        <v>42</v>
      </c>
      <c r="Q2" s="80" t="s">
        <v>15</v>
      </c>
      <c r="R2" s="81" t="s">
        <v>16</v>
      </c>
      <c r="S2" s="96">
        <v>198</v>
      </c>
      <c r="T2" s="96">
        <v>96</v>
      </c>
      <c r="U2" s="96">
        <v>89</v>
      </c>
      <c r="V2" s="96">
        <v>200</v>
      </c>
      <c r="W2" s="97">
        <v>160</v>
      </c>
      <c r="AA2" s="80" t="s">
        <v>15</v>
      </c>
      <c r="AB2" s="81" t="s">
        <v>16</v>
      </c>
      <c r="AC2" s="96">
        <f>S2+$M$5</f>
        <v>254</v>
      </c>
      <c r="AD2" s="96">
        <f t="shared" ref="AD2:AG2" si="0">T2+$M$5</f>
        <v>152</v>
      </c>
      <c r="AE2" s="96">
        <f t="shared" si="0"/>
        <v>145</v>
      </c>
      <c r="AF2" s="96">
        <f t="shared" si="0"/>
        <v>256</v>
      </c>
      <c r="AG2" s="96">
        <f t="shared" si="0"/>
        <v>216</v>
      </c>
    </row>
    <row r="3" spans="1:33" x14ac:dyDescent="0.2">
      <c r="A3" s="135" t="s">
        <v>15</v>
      </c>
      <c r="B3" s="136">
        <v>198</v>
      </c>
      <c r="C3" s="125" t="s">
        <v>253</v>
      </c>
      <c r="D3" s="135" t="s">
        <v>15</v>
      </c>
      <c r="E3" s="136">
        <v>89</v>
      </c>
      <c r="F3" s="125" t="s">
        <v>253</v>
      </c>
      <c r="G3" s="127" t="s">
        <v>25</v>
      </c>
      <c r="H3" s="134">
        <v>130</v>
      </c>
      <c r="L3" s="127" t="s">
        <v>146</v>
      </c>
      <c r="M3" s="134">
        <v>28</v>
      </c>
      <c r="Q3" s="80" t="s">
        <v>8</v>
      </c>
      <c r="R3" s="81" t="s">
        <v>9</v>
      </c>
      <c r="S3" s="96">
        <v>200</v>
      </c>
      <c r="T3" s="96">
        <v>100</v>
      </c>
      <c r="U3" s="64"/>
      <c r="V3" s="96">
        <v>190</v>
      </c>
      <c r="W3" s="97">
        <v>125</v>
      </c>
      <c r="AA3" s="80" t="s">
        <v>8</v>
      </c>
      <c r="AB3" s="81" t="s">
        <v>9</v>
      </c>
      <c r="AC3" s="96">
        <f>S3+$M$2</f>
        <v>242</v>
      </c>
      <c r="AD3" s="96">
        <f t="shared" ref="AD3:AG4" si="1">T3+$M$2</f>
        <v>142</v>
      </c>
      <c r="AE3" s="170"/>
      <c r="AF3" s="96">
        <f t="shared" si="1"/>
        <v>232</v>
      </c>
      <c r="AG3" s="96">
        <f t="shared" si="1"/>
        <v>167</v>
      </c>
    </row>
    <row r="4" spans="1:33" x14ac:dyDescent="0.2">
      <c r="A4" s="127" t="s">
        <v>8</v>
      </c>
      <c r="B4" s="131">
        <v>200</v>
      </c>
      <c r="C4" s="125" t="s">
        <v>253</v>
      </c>
      <c r="D4" s="127" t="s">
        <v>21</v>
      </c>
      <c r="E4" s="131">
        <v>90</v>
      </c>
      <c r="F4" s="125" t="s">
        <v>253</v>
      </c>
      <c r="G4" s="127" t="s">
        <v>13</v>
      </c>
      <c r="H4" s="134">
        <v>139</v>
      </c>
      <c r="L4" s="127" t="s">
        <v>147</v>
      </c>
      <c r="M4" s="134">
        <v>14</v>
      </c>
      <c r="Q4" s="73" t="s">
        <v>19</v>
      </c>
      <c r="R4" s="74" t="s">
        <v>20</v>
      </c>
      <c r="S4" s="89">
        <v>194</v>
      </c>
      <c r="T4" s="89">
        <v>101</v>
      </c>
      <c r="U4" s="64"/>
      <c r="V4" s="89">
        <v>196</v>
      </c>
      <c r="W4" s="90">
        <v>152</v>
      </c>
      <c r="AA4" s="73" t="s">
        <v>19</v>
      </c>
      <c r="AB4" s="74" t="s">
        <v>20</v>
      </c>
      <c r="AC4" s="89">
        <f>S4+$M$2</f>
        <v>236</v>
      </c>
      <c r="AD4" s="89">
        <f t="shared" si="1"/>
        <v>143</v>
      </c>
      <c r="AE4" s="64"/>
      <c r="AF4" s="89">
        <f t="shared" si="1"/>
        <v>238</v>
      </c>
      <c r="AG4" s="89">
        <f t="shared" si="1"/>
        <v>194</v>
      </c>
    </row>
    <row r="5" spans="1:33" x14ac:dyDescent="0.2">
      <c r="A5" s="127" t="s">
        <v>31</v>
      </c>
      <c r="B5" s="131">
        <v>200</v>
      </c>
      <c r="C5" s="125" t="s">
        <v>253</v>
      </c>
      <c r="D5" s="127" t="s">
        <v>23</v>
      </c>
      <c r="E5" s="131">
        <v>95</v>
      </c>
      <c r="F5" s="125" t="s">
        <v>253</v>
      </c>
      <c r="G5" s="127" t="s">
        <v>27</v>
      </c>
      <c r="H5" s="134">
        <v>139</v>
      </c>
      <c r="L5" s="137" t="s">
        <v>151</v>
      </c>
      <c r="M5" s="138">
        <v>56</v>
      </c>
      <c r="Q5" s="73" t="s">
        <v>21</v>
      </c>
      <c r="R5" s="74" t="s">
        <v>22</v>
      </c>
      <c r="S5" s="89">
        <v>250</v>
      </c>
      <c r="T5" s="89">
        <v>98</v>
      </c>
      <c r="U5" s="89">
        <v>90</v>
      </c>
      <c r="V5" s="89">
        <v>195</v>
      </c>
      <c r="W5" s="90">
        <v>152</v>
      </c>
      <c r="AA5" s="73" t="s">
        <v>21</v>
      </c>
      <c r="AB5" s="74" t="s">
        <v>22</v>
      </c>
      <c r="AC5" s="89">
        <f>S5+$M$3</f>
        <v>278</v>
      </c>
      <c r="AD5" s="89">
        <f t="shared" ref="AD5:AG5" si="2">T5+$M$3</f>
        <v>126</v>
      </c>
      <c r="AE5" s="89">
        <f t="shared" si="2"/>
        <v>118</v>
      </c>
      <c r="AF5" s="89">
        <f t="shared" si="2"/>
        <v>223</v>
      </c>
      <c r="AG5" s="89">
        <f t="shared" si="2"/>
        <v>180</v>
      </c>
    </row>
    <row r="6" spans="1:33" x14ac:dyDescent="0.2">
      <c r="A6" s="127" t="s">
        <v>25</v>
      </c>
      <c r="B6" s="131">
        <v>203</v>
      </c>
      <c r="C6" s="125" t="s">
        <v>253</v>
      </c>
      <c r="D6" s="127" t="s">
        <v>13</v>
      </c>
      <c r="E6" s="131">
        <v>96</v>
      </c>
      <c r="F6" s="125" t="s">
        <v>253</v>
      </c>
      <c r="G6" s="127" t="s">
        <v>17</v>
      </c>
      <c r="H6" s="134">
        <v>142</v>
      </c>
      <c r="Q6" s="73" t="s">
        <v>13</v>
      </c>
      <c r="R6" s="74" t="s">
        <v>14</v>
      </c>
      <c r="S6" s="64"/>
      <c r="T6" s="89">
        <v>107</v>
      </c>
      <c r="U6" s="89">
        <v>96</v>
      </c>
      <c r="V6" s="64"/>
      <c r="W6" s="90">
        <v>139</v>
      </c>
      <c r="AA6" s="73" t="s">
        <v>13</v>
      </c>
      <c r="AB6" s="74" t="s">
        <v>14</v>
      </c>
      <c r="AC6" s="64"/>
      <c r="AD6" s="89">
        <f>T6+$M$2</f>
        <v>149</v>
      </c>
      <c r="AE6" s="89">
        <f>U6+$M$2</f>
        <v>138</v>
      </c>
      <c r="AF6" s="64"/>
      <c r="AG6" s="90">
        <f>W6+M2</f>
        <v>181</v>
      </c>
    </row>
    <row r="7" spans="1:33" x14ac:dyDescent="0.2">
      <c r="A7" s="127" t="s">
        <v>17</v>
      </c>
      <c r="B7" s="131">
        <v>230</v>
      </c>
      <c r="C7" s="125" t="s">
        <v>253</v>
      </c>
      <c r="D7" s="127" t="s">
        <v>29</v>
      </c>
      <c r="E7" s="131">
        <v>97</v>
      </c>
      <c r="F7" s="125" t="s">
        <v>253</v>
      </c>
      <c r="G7" s="127" t="s">
        <v>23</v>
      </c>
      <c r="H7" s="134">
        <v>148</v>
      </c>
      <c r="Q7" s="80" t="s">
        <v>23</v>
      </c>
      <c r="R7" s="81" t="s">
        <v>24</v>
      </c>
      <c r="S7" s="64"/>
      <c r="T7" s="96">
        <v>96</v>
      </c>
      <c r="U7" s="96">
        <v>95</v>
      </c>
      <c r="V7" s="64"/>
      <c r="W7" s="97">
        <v>148</v>
      </c>
      <c r="AA7" s="80" t="s">
        <v>23</v>
      </c>
      <c r="AB7" s="81" t="s">
        <v>24</v>
      </c>
      <c r="AC7" s="64"/>
      <c r="AD7" s="96">
        <f>T7+$M$2</f>
        <v>138</v>
      </c>
      <c r="AE7" s="96">
        <f>U7+$M$2</f>
        <v>137</v>
      </c>
      <c r="AF7" s="64"/>
      <c r="AG7" s="97">
        <f>W7+$M$2</f>
        <v>190</v>
      </c>
    </row>
    <row r="8" spans="1:33" x14ac:dyDescent="0.2">
      <c r="A8" s="129" t="s">
        <v>21</v>
      </c>
      <c r="B8" s="130">
        <v>250</v>
      </c>
      <c r="C8" s="125" t="s">
        <v>253</v>
      </c>
      <c r="D8" s="127" t="s">
        <v>17</v>
      </c>
      <c r="E8" s="131">
        <v>98</v>
      </c>
      <c r="F8" s="125" t="s">
        <v>253</v>
      </c>
      <c r="G8" s="129" t="s">
        <v>19</v>
      </c>
      <c r="H8" s="139">
        <v>152</v>
      </c>
      <c r="Q8" s="80" t="s">
        <v>17</v>
      </c>
      <c r="R8" s="81" t="s">
        <v>18</v>
      </c>
      <c r="S8" s="96">
        <v>230</v>
      </c>
      <c r="T8" s="96">
        <v>110</v>
      </c>
      <c r="U8" s="96">
        <v>98</v>
      </c>
      <c r="V8" s="96">
        <v>198</v>
      </c>
      <c r="W8" s="97">
        <v>142</v>
      </c>
      <c r="AA8" s="80" t="s">
        <v>17</v>
      </c>
      <c r="AB8" s="81" t="s">
        <v>18</v>
      </c>
      <c r="AC8" s="96">
        <f>S8+$M$4</f>
        <v>244</v>
      </c>
      <c r="AD8" s="96">
        <f t="shared" ref="AD8:AG8" si="3">T8+$M$4</f>
        <v>124</v>
      </c>
      <c r="AE8" s="96">
        <f t="shared" si="3"/>
        <v>112</v>
      </c>
      <c r="AF8" s="96">
        <f t="shared" si="3"/>
        <v>212</v>
      </c>
      <c r="AG8" s="96">
        <f t="shared" si="3"/>
        <v>156</v>
      </c>
    </row>
    <row r="9" spans="1:33" x14ac:dyDescent="0.2">
      <c r="A9" s="127" t="s">
        <v>13</v>
      </c>
      <c r="B9" s="140" t="s">
        <v>253</v>
      </c>
      <c r="C9" s="125" t="s">
        <v>253</v>
      </c>
      <c r="D9" s="127" t="s">
        <v>27</v>
      </c>
      <c r="E9" s="131">
        <v>99</v>
      </c>
      <c r="F9" s="125" t="s">
        <v>253</v>
      </c>
      <c r="G9" s="129" t="s">
        <v>21</v>
      </c>
      <c r="H9" s="139">
        <v>152</v>
      </c>
      <c r="L9" s="2" t="s">
        <v>13</v>
      </c>
      <c r="M9" s="2" t="s">
        <v>14</v>
      </c>
      <c r="Q9" s="73" t="s">
        <v>25</v>
      </c>
      <c r="R9" s="74" t="s">
        <v>26</v>
      </c>
      <c r="S9" s="89">
        <v>203</v>
      </c>
      <c r="T9" s="89">
        <v>96</v>
      </c>
      <c r="U9" s="89">
        <v>88</v>
      </c>
      <c r="V9" s="89">
        <v>197</v>
      </c>
      <c r="W9" s="90">
        <v>130</v>
      </c>
      <c r="AA9" s="73" t="s">
        <v>25</v>
      </c>
      <c r="AB9" s="74" t="s">
        <v>26</v>
      </c>
      <c r="AC9" s="89">
        <f>S9+$M$5</f>
        <v>259</v>
      </c>
      <c r="AD9" s="89">
        <f t="shared" ref="AD9:AG9" si="4">T9+$M$5</f>
        <v>152</v>
      </c>
      <c r="AE9" s="89">
        <f t="shared" si="4"/>
        <v>144</v>
      </c>
      <c r="AF9" s="89">
        <f t="shared" si="4"/>
        <v>253</v>
      </c>
      <c r="AG9" s="89">
        <f t="shared" si="4"/>
        <v>186</v>
      </c>
    </row>
    <row r="10" spans="1:33" x14ac:dyDescent="0.2">
      <c r="A10" s="127" t="s">
        <v>23</v>
      </c>
      <c r="B10" s="140" t="s">
        <v>253</v>
      </c>
      <c r="C10" s="125" t="s">
        <v>253</v>
      </c>
      <c r="D10" s="127" t="s">
        <v>8</v>
      </c>
      <c r="E10" s="140" t="s">
        <v>253</v>
      </c>
      <c r="F10" s="125" t="s">
        <v>253</v>
      </c>
      <c r="G10" s="127" t="s">
        <v>29</v>
      </c>
      <c r="H10" s="134">
        <v>157</v>
      </c>
      <c r="L10" s="2" t="s">
        <v>8</v>
      </c>
      <c r="M10" s="2" t="s">
        <v>9</v>
      </c>
      <c r="Q10" s="80" t="s">
        <v>27</v>
      </c>
      <c r="R10" s="81" t="s">
        <v>28</v>
      </c>
      <c r="S10" s="64"/>
      <c r="T10" s="96">
        <v>112</v>
      </c>
      <c r="U10" s="96">
        <v>99</v>
      </c>
      <c r="V10" s="64"/>
      <c r="W10" s="97">
        <v>139</v>
      </c>
      <c r="AA10" s="80" t="s">
        <v>27</v>
      </c>
      <c r="AB10" s="81" t="s">
        <v>28</v>
      </c>
      <c r="AC10" s="64"/>
      <c r="AD10" s="96">
        <f>T10+42</f>
        <v>154</v>
      </c>
      <c r="AE10" s="96">
        <f>U10+42</f>
        <v>141</v>
      </c>
      <c r="AF10" s="173"/>
      <c r="AG10" s="172">
        <f>W10+42</f>
        <v>181</v>
      </c>
    </row>
    <row r="11" spans="1:33" x14ac:dyDescent="0.2">
      <c r="A11" s="127" t="s">
        <v>27</v>
      </c>
      <c r="B11" s="140" t="s">
        <v>253</v>
      </c>
      <c r="C11" s="125" t="s">
        <v>253</v>
      </c>
      <c r="D11" s="127" t="s">
        <v>19</v>
      </c>
      <c r="E11" s="140" t="s">
        <v>253</v>
      </c>
      <c r="F11" s="125" t="s">
        <v>253</v>
      </c>
      <c r="G11" s="127" t="s">
        <v>15</v>
      </c>
      <c r="H11" s="134">
        <v>160</v>
      </c>
      <c r="Q11" s="80" t="s">
        <v>29</v>
      </c>
      <c r="R11" s="81" t="s">
        <v>30</v>
      </c>
      <c r="S11" s="64"/>
      <c r="T11" s="96">
        <v>99</v>
      </c>
      <c r="U11" s="96">
        <v>97</v>
      </c>
      <c r="V11" s="64"/>
      <c r="W11" s="97">
        <v>157</v>
      </c>
      <c r="AA11" s="80" t="s">
        <v>29</v>
      </c>
      <c r="AB11" s="81" t="s">
        <v>30</v>
      </c>
      <c r="AC11" s="64"/>
      <c r="AD11" s="96">
        <f>T11+56</f>
        <v>155</v>
      </c>
      <c r="AE11" s="96">
        <f>U11+56</f>
        <v>153</v>
      </c>
      <c r="AF11" s="173"/>
      <c r="AG11" s="172">
        <f>W11+56</f>
        <v>213</v>
      </c>
    </row>
    <row r="12" spans="1:33" x14ac:dyDescent="0.2">
      <c r="A12" s="137" t="s">
        <v>29</v>
      </c>
      <c r="B12" s="141" t="s">
        <v>253</v>
      </c>
      <c r="C12" s="125" t="s">
        <v>253</v>
      </c>
      <c r="D12" s="137" t="s">
        <v>31</v>
      </c>
      <c r="E12" s="141" t="s">
        <v>253</v>
      </c>
      <c r="F12" s="125" t="s">
        <v>253</v>
      </c>
      <c r="G12" s="137" t="s">
        <v>31</v>
      </c>
      <c r="H12" s="142" t="s">
        <v>253</v>
      </c>
      <c r="Q12" s="77" t="s">
        <v>31</v>
      </c>
      <c r="R12" s="78" t="s">
        <v>18</v>
      </c>
      <c r="S12" s="92">
        <v>200</v>
      </c>
      <c r="T12" s="92">
        <v>100</v>
      </c>
      <c r="U12" s="65"/>
      <c r="V12" s="92">
        <v>198</v>
      </c>
      <c r="W12" s="66"/>
      <c r="AA12" s="77" t="s">
        <v>31</v>
      </c>
      <c r="AB12" s="78" t="s">
        <v>18</v>
      </c>
      <c r="AC12" s="92">
        <f>S12+14</f>
        <v>214</v>
      </c>
      <c r="AD12" s="92">
        <f>T12+14</f>
        <v>114</v>
      </c>
      <c r="AE12" s="171"/>
      <c r="AF12" s="92">
        <f>V12+14</f>
        <v>212</v>
      </c>
      <c r="AG12" s="171"/>
    </row>
    <row r="13" spans="1:33" x14ac:dyDescent="0.2">
      <c r="A13" s="125" t="s">
        <v>253</v>
      </c>
      <c r="B13" s="125" t="s">
        <v>253</v>
      </c>
      <c r="C13" s="125" t="s">
        <v>253</v>
      </c>
      <c r="D13" s="125" t="s">
        <v>253</v>
      </c>
      <c r="E13" s="125" t="s">
        <v>253</v>
      </c>
      <c r="F13" s="125" t="s">
        <v>253</v>
      </c>
      <c r="G13" s="125" t="s">
        <v>253</v>
      </c>
      <c r="H13" s="125" t="s">
        <v>253</v>
      </c>
    </row>
    <row r="14" spans="1:33" x14ac:dyDescent="0.2">
      <c r="A14" s="125" t="s">
        <v>253</v>
      </c>
      <c r="B14" s="125" t="s">
        <v>253</v>
      </c>
      <c r="C14" s="125" t="s">
        <v>253</v>
      </c>
      <c r="D14" s="125" t="s">
        <v>253</v>
      </c>
      <c r="E14" s="125" t="s">
        <v>253</v>
      </c>
      <c r="F14" s="125" t="s">
        <v>253</v>
      </c>
      <c r="G14" s="125" t="s">
        <v>253</v>
      </c>
      <c r="H14" s="125" t="s">
        <v>253</v>
      </c>
    </row>
    <row r="15" spans="1:33" x14ac:dyDescent="0.2">
      <c r="A15" s="125" t="s">
        <v>253</v>
      </c>
      <c r="B15" s="125" t="s">
        <v>253</v>
      </c>
      <c r="C15" s="125" t="s">
        <v>253</v>
      </c>
      <c r="D15" s="125" t="s">
        <v>253</v>
      </c>
      <c r="E15" s="125" t="s">
        <v>253</v>
      </c>
      <c r="F15" s="125" t="s">
        <v>253</v>
      </c>
      <c r="G15" s="125" t="s">
        <v>253</v>
      </c>
      <c r="H15" s="125" t="s">
        <v>253</v>
      </c>
    </row>
    <row r="16" spans="1:33" ht="32" x14ac:dyDescent="0.2">
      <c r="A16" s="123" t="s">
        <v>10</v>
      </c>
      <c r="B16" s="124" t="s">
        <v>2</v>
      </c>
      <c r="C16" s="125" t="s">
        <v>253</v>
      </c>
      <c r="D16" s="123" t="s">
        <v>10</v>
      </c>
      <c r="E16" s="124" t="s">
        <v>4</v>
      </c>
      <c r="F16" s="125" t="s">
        <v>253</v>
      </c>
      <c r="G16" s="125" t="s">
        <v>253</v>
      </c>
      <c r="H16" s="125" t="s">
        <v>254</v>
      </c>
    </row>
    <row r="17" spans="1:8" x14ac:dyDescent="0.2">
      <c r="A17" s="135" t="s">
        <v>15</v>
      </c>
      <c r="B17" s="136">
        <v>96</v>
      </c>
      <c r="C17" s="125" t="s">
        <v>253</v>
      </c>
      <c r="D17" s="132" t="s">
        <v>8</v>
      </c>
      <c r="E17" s="143">
        <v>190</v>
      </c>
      <c r="F17" s="125" t="s">
        <v>253</v>
      </c>
      <c r="G17" s="125" t="s">
        <v>253</v>
      </c>
      <c r="H17" s="125" t="s">
        <v>255</v>
      </c>
    </row>
    <row r="18" spans="1:8" x14ac:dyDescent="0.2">
      <c r="A18" s="127" t="s">
        <v>23</v>
      </c>
      <c r="B18" s="131">
        <v>96</v>
      </c>
      <c r="C18" s="125" t="s">
        <v>253</v>
      </c>
      <c r="D18" s="129" t="s">
        <v>21</v>
      </c>
      <c r="E18" s="130">
        <v>195</v>
      </c>
      <c r="F18" s="125" t="s">
        <v>253</v>
      </c>
      <c r="G18" s="125" t="s">
        <v>253</v>
      </c>
      <c r="H18" s="125" t="s">
        <v>253</v>
      </c>
    </row>
    <row r="19" spans="1:8" x14ac:dyDescent="0.2">
      <c r="A19" s="127" t="s">
        <v>25</v>
      </c>
      <c r="B19" s="131">
        <v>96</v>
      </c>
      <c r="C19" s="125" t="s">
        <v>253</v>
      </c>
      <c r="D19" s="129" t="s">
        <v>19</v>
      </c>
      <c r="E19" s="130">
        <v>196</v>
      </c>
      <c r="F19" s="125" t="s">
        <v>253</v>
      </c>
      <c r="G19" s="125" t="s">
        <v>253</v>
      </c>
      <c r="H19" s="125" t="s">
        <v>256</v>
      </c>
    </row>
    <row r="20" spans="1:8" x14ac:dyDescent="0.2">
      <c r="A20" s="129" t="s">
        <v>21</v>
      </c>
      <c r="B20" s="130">
        <v>98</v>
      </c>
      <c r="C20" s="125" t="s">
        <v>253</v>
      </c>
      <c r="D20" s="127" t="s">
        <v>25</v>
      </c>
      <c r="E20" s="131">
        <v>197</v>
      </c>
      <c r="F20" s="125" t="s">
        <v>253</v>
      </c>
      <c r="G20" s="125" t="s">
        <v>253</v>
      </c>
      <c r="H20" s="125" t="s">
        <v>257</v>
      </c>
    </row>
    <row r="21" spans="1:8" x14ac:dyDescent="0.2">
      <c r="A21" s="127" t="s">
        <v>29</v>
      </c>
      <c r="B21" s="131">
        <v>99</v>
      </c>
      <c r="C21" s="125" t="s">
        <v>253</v>
      </c>
      <c r="D21" s="127" t="s">
        <v>17</v>
      </c>
      <c r="E21" s="131">
        <v>198</v>
      </c>
      <c r="F21" s="125" t="s">
        <v>253</v>
      </c>
      <c r="G21" s="125" t="s">
        <v>253</v>
      </c>
      <c r="H21" s="125" t="s">
        <v>253</v>
      </c>
    </row>
    <row r="22" spans="1:8" x14ac:dyDescent="0.2">
      <c r="A22" s="127" t="s">
        <v>8</v>
      </c>
      <c r="B22" s="131">
        <v>100</v>
      </c>
      <c r="C22" s="125" t="s">
        <v>253</v>
      </c>
      <c r="D22" s="127" t="s">
        <v>31</v>
      </c>
      <c r="E22" s="131">
        <v>198</v>
      </c>
      <c r="F22" s="125" t="s">
        <v>253</v>
      </c>
      <c r="G22" s="125" t="s">
        <v>253</v>
      </c>
      <c r="H22" s="125" t="s">
        <v>253</v>
      </c>
    </row>
    <row r="23" spans="1:8" x14ac:dyDescent="0.2">
      <c r="A23" s="127" t="s">
        <v>31</v>
      </c>
      <c r="B23" s="131">
        <v>100</v>
      </c>
      <c r="C23" s="125" t="s">
        <v>253</v>
      </c>
      <c r="D23" s="127" t="s">
        <v>15</v>
      </c>
      <c r="E23" s="131">
        <v>200</v>
      </c>
      <c r="F23" s="125" t="s">
        <v>253</v>
      </c>
      <c r="G23" s="125" t="s">
        <v>253</v>
      </c>
      <c r="H23" s="125" t="s">
        <v>253</v>
      </c>
    </row>
    <row r="24" spans="1:8" x14ac:dyDescent="0.2">
      <c r="A24" s="129" t="s">
        <v>19</v>
      </c>
      <c r="B24" s="130">
        <v>101</v>
      </c>
      <c r="C24" s="125" t="s">
        <v>253</v>
      </c>
      <c r="D24" s="127" t="s">
        <v>13</v>
      </c>
      <c r="E24" s="140" t="s">
        <v>253</v>
      </c>
      <c r="F24" s="125" t="s">
        <v>253</v>
      </c>
      <c r="G24" s="125" t="s">
        <v>253</v>
      </c>
      <c r="H24" s="125" t="s">
        <v>253</v>
      </c>
    </row>
    <row r="25" spans="1:8" x14ac:dyDescent="0.2">
      <c r="A25" s="127" t="s">
        <v>13</v>
      </c>
      <c r="B25" s="131">
        <v>107</v>
      </c>
      <c r="C25" s="125" t="s">
        <v>253</v>
      </c>
      <c r="D25" s="127" t="s">
        <v>23</v>
      </c>
      <c r="E25" s="140" t="s">
        <v>253</v>
      </c>
      <c r="F25" s="125" t="s">
        <v>253</v>
      </c>
      <c r="G25" s="125" t="s">
        <v>253</v>
      </c>
      <c r="H25" s="125" t="s">
        <v>253</v>
      </c>
    </row>
    <row r="26" spans="1:8" x14ac:dyDescent="0.2">
      <c r="A26" s="127" t="s">
        <v>17</v>
      </c>
      <c r="B26" s="131">
        <v>110</v>
      </c>
      <c r="C26" s="125" t="s">
        <v>253</v>
      </c>
      <c r="D26" s="127" t="s">
        <v>27</v>
      </c>
      <c r="E26" s="140" t="s">
        <v>253</v>
      </c>
      <c r="F26" s="125" t="s">
        <v>253</v>
      </c>
      <c r="G26" s="125" t="s">
        <v>253</v>
      </c>
      <c r="H26" s="125" t="s">
        <v>253</v>
      </c>
    </row>
    <row r="27" spans="1:8" x14ac:dyDescent="0.2">
      <c r="A27" s="137" t="s">
        <v>27</v>
      </c>
      <c r="B27" s="144">
        <v>112</v>
      </c>
      <c r="C27" s="125" t="s">
        <v>253</v>
      </c>
      <c r="D27" s="137" t="s">
        <v>29</v>
      </c>
      <c r="E27" s="141" t="s">
        <v>253</v>
      </c>
      <c r="F27" s="125" t="s">
        <v>253</v>
      </c>
      <c r="G27" s="125" t="s">
        <v>253</v>
      </c>
      <c r="H27" s="125" t="s">
        <v>253</v>
      </c>
    </row>
    <row r="28" spans="1:8" x14ac:dyDescent="0.2">
      <c r="A28" s="125" t="s">
        <v>253</v>
      </c>
      <c r="B28" s="125" t="s">
        <v>253</v>
      </c>
      <c r="C28" s="125" t="s">
        <v>253</v>
      </c>
      <c r="D28" s="125" t="s">
        <v>253</v>
      </c>
      <c r="E28" s="125" t="s">
        <v>253</v>
      </c>
      <c r="F28" s="125" t="s">
        <v>253</v>
      </c>
      <c r="G28" s="125" t="s">
        <v>253</v>
      </c>
      <c r="H28" s="125" t="s">
        <v>253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7"/>
  <sheetViews>
    <sheetView zoomScale="114" zoomScaleNormal="80" workbookViewId="0">
      <selection activeCell="C4" sqref="C4"/>
    </sheetView>
  </sheetViews>
  <sheetFormatPr baseColWidth="10" defaultColWidth="9.1640625" defaultRowHeight="15" x14ac:dyDescent="0.2"/>
  <cols>
    <col min="1" max="1" width="9.1640625" style="2"/>
    <col min="2" max="2" width="20.5" style="2" customWidth="1"/>
    <col min="3" max="4" width="24.83203125" style="2" bestFit="1" customWidth="1"/>
    <col min="5" max="5" width="13.5" style="2" bestFit="1" customWidth="1"/>
    <col min="6" max="16384" width="9.1640625" style="2"/>
  </cols>
  <sheetData>
    <row r="1" spans="2:4" ht="15.75" customHeight="1" x14ac:dyDescent="0.2"/>
    <row r="2" spans="2:4" ht="32.25" customHeight="1" x14ac:dyDescent="0.45">
      <c r="B2" s="251" t="s">
        <v>137</v>
      </c>
      <c r="C2" s="280"/>
      <c r="D2" s="281"/>
    </row>
    <row r="3" spans="2:4" ht="48" x14ac:dyDescent="0.2">
      <c r="B3" s="33" t="s">
        <v>139</v>
      </c>
      <c r="C3" s="10" t="s">
        <v>140</v>
      </c>
      <c r="D3" s="34" t="s">
        <v>141</v>
      </c>
    </row>
    <row r="4" spans="2:4" x14ac:dyDescent="0.2">
      <c r="B4" s="20" t="s">
        <v>144</v>
      </c>
      <c r="C4" s="38">
        <v>0.02</v>
      </c>
      <c r="D4" s="62">
        <v>42</v>
      </c>
    </row>
    <row r="5" spans="2:4" x14ac:dyDescent="0.2">
      <c r="B5" s="20" t="s">
        <v>146</v>
      </c>
      <c r="C5" s="38">
        <v>0.03</v>
      </c>
      <c r="D5" s="62">
        <v>28</v>
      </c>
    </row>
    <row r="6" spans="2:4" x14ac:dyDescent="0.2">
      <c r="B6" s="21" t="s">
        <v>147</v>
      </c>
      <c r="C6" s="38">
        <v>0.02</v>
      </c>
      <c r="D6" s="62">
        <v>14</v>
      </c>
    </row>
    <row r="7" spans="2:4" x14ac:dyDescent="0.2">
      <c r="B7" s="39" t="s">
        <v>151</v>
      </c>
      <c r="C7" s="40">
        <v>0.03</v>
      </c>
      <c r="D7" s="63">
        <v>56</v>
      </c>
    </row>
  </sheetData>
  <mergeCells count="1">
    <mergeCell ref="B2:D2"/>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36347-CEBB-4485-8B24-ED150344A6D4}">
  <dimension ref="B1:R38"/>
  <sheetViews>
    <sheetView zoomScaleNormal="100" workbookViewId="0">
      <selection activeCell="J19" sqref="J19"/>
    </sheetView>
  </sheetViews>
  <sheetFormatPr baseColWidth="10" defaultColWidth="9.1640625" defaultRowHeight="15" x14ac:dyDescent="0.2"/>
  <cols>
    <col min="1" max="1" width="6" style="2" customWidth="1"/>
    <col min="2" max="2" width="34.83203125" style="2" bestFit="1" customWidth="1"/>
    <col min="3" max="3" width="16.5" style="2" customWidth="1"/>
    <col min="4" max="4" width="13.5" style="2" bestFit="1" customWidth="1"/>
    <col min="5" max="5" width="12.33203125" style="2" bestFit="1" customWidth="1"/>
    <col min="6" max="6" width="14.6640625" style="2" bestFit="1" customWidth="1"/>
    <col min="7" max="7" width="12.5" style="2" bestFit="1" customWidth="1"/>
    <col min="8" max="8" width="11.1640625" style="2" bestFit="1" customWidth="1"/>
    <col min="9" max="9" width="9.1640625" style="2"/>
    <col min="10" max="10" width="12.5" style="2" bestFit="1" customWidth="1"/>
    <col min="11" max="11" width="9.5" style="2" bestFit="1" customWidth="1"/>
    <col min="12" max="12" width="9.1640625" style="2"/>
    <col min="13" max="13" width="11.1640625" style="2" bestFit="1" customWidth="1"/>
    <col min="14" max="16384" width="9.1640625" style="2"/>
  </cols>
  <sheetData>
    <row r="1" spans="2:18" ht="16" thickBot="1" x14ac:dyDescent="0.25"/>
    <row r="2" spans="2:18" ht="32" thickBot="1" x14ac:dyDescent="0.5">
      <c r="B2" s="251" t="s">
        <v>193</v>
      </c>
      <c r="C2" s="282"/>
      <c r="D2" s="282"/>
      <c r="E2" s="282"/>
      <c r="F2" s="282"/>
      <c r="G2" s="252"/>
    </row>
    <row r="3" spans="2:18" ht="17" thickBot="1" x14ac:dyDescent="0.25">
      <c r="B3" s="283" t="s">
        <v>195</v>
      </c>
      <c r="C3" s="284"/>
      <c r="D3" s="284"/>
      <c r="E3" s="284"/>
      <c r="F3" s="284"/>
      <c r="G3" s="285"/>
    </row>
    <row r="4" spans="2:18" s="23" customFormat="1" ht="17" customHeight="1" thickBot="1" x14ac:dyDescent="0.25">
      <c r="B4" s="67" t="s">
        <v>10</v>
      </c>
      <c r="C4" s="99" t="s">
        <v>1</v>
      </c>
      <c r="D4" s="68" t="s">
        <v>2</v>
      </c>
      <c r="E4" s="68" t="s">
        <v>3</v>
      </c>
      <c r="F4" s="68" t="s">
        <v>4</v>
      </c>
      <c r="G4" s="69" t="s">
        <v>5</v>
      </c>
      <c r="H4" s="2"/>
      <c r="I4" s="2"/>
      <c r="J4" s="2"/>
      <c r="K4" s="2"/>
      <c r="L4" s="2"/>
      <c r="M4" s="2"/>
      <c r="N4" s="2"/>
      <c r="O4" s="2"/>
      <c r="P4" s="2"/>
      <c r="Q4" s="2"/>
      <c r="R4" s="2"/>
    </row>
    <row r="5" spans="2:18" x14ac:dyDescent="0.2">
      <c r="B5" s="93" t="s">
        <v>15</v>
      </c>
      <c r="C5" s="94">
        <v>82050</v>
      </c>
      <c r="D5" s="94">
        <v>39000</v>
      </c>
      <c r="E5" s="94">
        <v>3050</v>
      </c>
      <c r="F5" s="94">
        <v>87600</v>
      </c>
      <c r="G5" s="95">
        <v>7500</v>
      </c>
    </row>
    <row r="6" spans="2:18" x14ac:dyDescent="0.2">
      <c r="B6" s="93" t="s">
        <v>8</v>
      </c>
      <c r="C6" s="94">
        <v>80500</v>
      </c>
      <c r="D6" s="94">
        <v>31000</v>
      </c>
      <c r="E6" s="36">
        <v>0</v>
      </c>
      <c r="F6" s="94">
        <v>87050</v>
      </c>
      <c r="G6" s="95">
        <v>8600</v>
      </c>
    </row>
    <row r="7" spans="2:18" x14ac:dyDescent="0.2">
      <c r="B7" s="86" t="s">
        <v>19</v>
      </c>
      <c r="C7" s="87">
        <v>88560</v>
      </c>
      <c r="D7" s="87">
        <v>38420</v>
      </c>
      <c r="E7" s="36">
        <v>0</v>
      </c>
      <c r="F7" s="87">
        <v>83450</v>
      </c>
      <c r="G7" s="88">
        <v>8880</v>
      </c>
    </row>
    <row r="8" spans="2:18" x14ac:dyDescent="0.2">
      <c r="B8" s="86" t="s">
        <v>21</v>
      </c>
      <c r="C8" s="87">
        <v>88000</v>
      </c>
      <c r="D8" s="87">
        <v>33600</v>
      </c>
      <c r="E8" s="87">
        <v>4000</v>
      </c>
      <c r="F8" s="87">
        <v>85000</v>
      </c>
      <c r="G8" s="88">
        <v>9000</v>
      </c>
    </row>
    <row r="9" spans="2:18" x14ac:dyDescent="0.2">
      <c r="B9" s="86" t="s">
        <v>13</v>
      </c>
      <c r="C9" s="36">
        <v>0</v>
      </c>
      <c r="D9" s="87">
        <v>41000</v>
      </c>
      <c r="E9" s="87">
        <v>3900</v>
      </c>
      <c r="F9" s="36">
        <v>0</v>
      </c>
      <c r="G9" s="88">
        <v>8980</v>
      </c>
    </row>
    <row r="10" spans="2:18" x14ac:dyDescent="0.2">
      <c r="B10" s="93" t="s">
        <v>23</v>
      </c>
      <c r="C10" s="36">
        <v>0</v>
      </c>
      <c r="D10" s="94">
        <v>32500</v>
      </c>
      <c r="E10" s="94">
        <v>3500</v>
      </c>
      <c r="F10" s="36">
        <v>0</v>
      </c>
      <c r="G10" s="95">
        <v>8325</v>
      </c>
    </row>
    <row r="11" spans="2:18" x14ac:dyDescent="0.2">
      <c r="B11" s="93" t="s">
        <v>17</v>
      </c>
      <c r="C11" s="94">
        <v>92200</v>
      </c>
      <c r="D11" s="94">
        <v>36800</v>
      </c>
      <c r="E11" s="94">
        <v>3650</v>
      </c>
      <c r="F11" s="94">
        <v>86000</v>
      </c>
      <c r="G11" s="95">
        <v>10100</v>
      </c>
    </row>
    <row r="12" spans="2:18" x14ac:dyDescent="0.2">
      <c r="B12" s="86" t="s">
        <v>25</v>
      </c>
      <c r="C12" s="87">
        <v>74300</v>
      </c>
      <c r="D12" s="87">
        <v>28325</v>
      </c>
      <c r="E12" s="87">
        <v>2150</v>
      </c>
      <c r="F12" s="87">
        <v>81200</v>
      </c>
      <c r="G12" s="88">
        <v>8200</v>
      </c>
    </row>
    <row r="13" spans="2:18" x14ac:dyDescent="0.2">
      <c r="B13" s="93" t="s">
        <v>27</v>
      </c>
      <c r="C13" s="36">
        <v>0</v>
      </c>
      <c r="D13" s="94">
        <v>34450</v>
      </c>
      <c r="E13" s="94">
        <v>3940</v>
      </c>
      <c r="F13" s="36">
        <v>0</v>
      </c>
      <c r="G13" s="95">
        <v>8700</v>
      </c>
    </row>
    <row r="14" spans="2:18" x14ac:dyDescent="0.2">
      <c r="B14" s="93" t="s">
        <v>29</v>
      </c>
      <c r="C14" s="36">
        <v>0</v>
      </c>
      <c r="D14" s="94">
        <v>25000</v>
      </c>
      <c r="E14" s="94">
        <v>1800</v>
      </c>
      <c r="F14" s="36">
        <v>0</v>
      </c>
      <c r="G14" s="95">
        <v>7350</v>
      </c>
    </row>
    <row r="15" spans="2:18" ht="16" thickBot="1" x14ac:dyDescent="0.25">
      <c r="B15" s="86" t="s">
        <v>31</v>
      </c>
      <c r="C15" s="87">
        <v>95450</v>
      </c>
      <c r="D15" s="87">
        <v>37400</v>
      </c>
      <c r="E15" s="36">
        <v>0</v>
      </c>
      <c r="F15" s="87">
        <v>86900</v>
      </c>
      <c r="G15" s="37">
        <v>0</v>
      </c>
    </row>
    <row r="16" spans="2:18" ht="17" thickBot="1" x14ac:dyDescent="0.25">
      <c r="B16" s="302" t="s">
        <v>168</v>
      </c>
      <c r="C16" s="303"/>
      <c r="D16" s="303"/>
      <c r="E16" s="303"/>
      <c r="F16" s="303"/>
      <c r="G16" s="304"/>
    </row>
    <row r="17" spans="2:16" ht="33" thickBot="1" x14ac:dyDescent="0.25">
      <c r="B17" s="67" t="s">
        <v>10</v>
      </c>
      <c r="C17" s="68" t="s">
        <v>1</v>
      </c>
      <c r="D17" s="68" t="s">
        <v>2</v>
      </c>
      <c r="E17" s="68" t="s">
        <v>3</v>
      </c>
      <c r="F17" s="68" t="s">
        <v>4</v>
      </c>
      <c r="G17" s="69" t="s">
        <v>5</v>
      </c>
      <c r="I17" s="2" t="s">
        <v>13</v>
      </c>
      <c r="J17" s="2" t="e" vm="1">
        <v>#VALUE!</v>
      </c>
      <c r="K17" s="2" t="s">
        <v>258</v>
      </c>
    </row>
    <row r="18" spans="2:16" x14ac:dyDescent="0.2">
      <c r="B18" s="93" t="s">
        <v>15</v>
      </c>
      <c r="C18" s="96">
        <v>198</v>
      </c>
      <c r="D18" s="96">
        <v>96</v>
      </c>
      <c r="E18" s="96">
        <v>89</v>
      </c>
      <c r="F18" s="96">
        <v>200</v>
      </c>
      <c r="G18" s="97">
        <v>160</v>
      </c>
      <c r="I18" s="2" t="s">
        <v>8</v>
      </c>
      <c r="J18" s="2" t="e" vm="2">
        <v>#VALUE!</v>
      </c>
      <c r="L18" s="2" t="s">
        <v>33</v>
      </c>
      <c r="N18" s="2" t="s">
        <v>5</v>
      </c>
      <c r="P18" s="2" t="s">
        <v>258</v>
      </c>
    </row>
    <row r="19" spans="2:16" x14ac:dyDescent="0.2">
      <c r="B19" s="93" t="s">
        <v>8</v>
      </c>
      <c r="C19" s="96">
        <v>200</v>
      </c>
      <c r="D19" s="96">
        <v>100</v>
      </c>
      <c r="E19" s="64"/>
      <c r="F19" s="96">
        <v>190</v>
      </c>
      <c r="G19" s="97">
        <v>125</v>
      </c>
      <c r="I19" s="2" t="s">
        <v>23</v>
      </c>
      <c r="J19" s="145" t="e" vm="3">
        <v>#VALUE!</v>
      </c>
      <c r="L19" s="2" t="s">
        <v>2</v>
      </c>
      <c r="N19" s="2" t="s">
        <v>259</v>
      </c>
    </row>
    <row r="20" spans="2:16" x14ac:dyDescent="0.2">
      <c r="B20" s="86" t="s">
        <v>19</v>
      </c>
      <c r="C20" s="89">
        <v>194</v>
      </c>
      <c r="D20" s="89">
        <v>101</v>
      </c>
      <c r="E20" s="64"/>
      <c r="F20" s="89">
        <v>196</v>
      </c>
      <c r="G20" s="90">
        <v>152</v>
      </c>
      <c r="I20" s="2" t="s">
        <v>17</v>
      </c>
      <c r="J20" s="2" t="e" vm="4">
        <v>#VALUE!</v>
      </c>
    </row>
    <row r="21" spans="2:16" x14ac:dyDescent="0.2">
      <c r="B21" s="86" t="s">
        <v>21</v>
      </c>
      <c r="C21" s="89">
        <v>250</v>
      </c>
      <c r="D21" s="89">
        <v>98</v>
      </c>
      <c r="E21" s="89">
        <v>90</v>
      </c>
      <c r="F21" s="89">
        <v>195</v>
      </c>
      <c r="G21" s="90">
        <v>152</v>
      </c>
    </row>
    <row r="22" spans="2:16" x14ac:dyDescent="0.2">
      <c r="B22" s="86" t="s">
        <v>13</v>
      </c>
      <c r="C22" s="64"/>
      <c r="D22" s="89">
        <v>107</v>
      </c>
      <c r="E22" s="89">
        <v>96</v>
      </c>
      <c r="F22" s="64"/>
      <c r="G22" s="90">
        <v>139</v>
      </c>
    </row>
    <row r="23" spans="2:16" x14ac:dyDescent="0.2">
      <c r="B23" s="93" t="s">
        <v>23</v>
      </c>
      <c r="C23" s="64"/>
      <c r="D23" s="96">
        <v>96</v>
      </c>
      <c r="E23" s="96">
        <v>95</v>
      </c>
      <c r="F23" s="64"/>
      <c r="G23" s="97">
        <v>148</v>
      </c>
    </row>
    <row r="24" spans="2:16" x14ac:dyDescent="0.2">
      <c r="B24" s="93" t="s">
        <v>17</v>
      </c>
      <c r="C24" s="96">
        <v>230</v>
      </c>
      <c r="D24" s="96">
        <v>110</v>
      </c>
      <c r="E24" s="96">
        <v>98</v>
      </c>
      <c r="F24" s="96">
        <v>198</v>
      </c>
      <c r="G24" s="97">
        <v>142</v>
      </c>
    </row>
    <row r="25" spans="2:16" x14ac:dyDescent="0.2">
      <c r="B25" s="86" t="s">
        <v>25</v>
      </c>
      <c r="C25" s="89">
        <v>203</v>
      </c>
      <c r="D25" s="89">
        <v>96</v>
      </c>
      <c r="E25" s="89">
        <v>88</v>
      </c>
      <c r="F25" s="89">
        <v>197</v>
      </c>
      <c r="G25" s="90">
        <v>130</v>
      </c>
    </row>
    <row r="26" spans="2:16" x14ac:dyDescent="0.2">
      <c r="B26" s="93" t="s">
        <v>27</v>
      </c>
      <c r="C26" s="64"/>
      <c r="D26" s="96">
        <v>112</v>
      </c>
      <c r="E26" s="96">
        <v>99</v>
      </c>
      <c r="F26" s="64"/>
      <c r="G26" s="97">
        <v>139</v>
      </c>
    </row>
    <row r="27" spans="2:16" x14ac:dyDescent="0.2">
      <c r="B27" s="93" t="s">
        <v>29</v>
      </c>
      <c r="C27" s="64"/>
      <c r="D27" s="96">
        <v>99</v>
      </c>
      <c r="E27" s="96">
        <v>97</v>
      </c>
      <c r="F27" s="64"/>
      <c r="G27" s="97">
        <v>157</v>
      </c>
      <c r="I27" s="2" t="s">
        <v>260</v>
      </c>
      <c r="K27" s="146">
        <f>F19+D35+30</f>
        <v>262</v>
      </c>
    </row>
    <row r="28" spans="2:16" ht="16" thickBot="1" x14ac:dyDescent="0.25">
      <c r="B28" s="91" t="s">
        <v>31</v>
      </c>
      <c r="C28" s="92">
        <v>200</v>
      </c>
      <c r="D28" s="92">
        <v>100</v>
      </c>
      <c r="E28" s="65"/>
      <c r="F28" s="92">
        <v>198</v>
      </c>
      <c r="G28" s="66"/>
    </row>
    <row r="29" spans="2:16" x14ac:dyDescent="0.2">
      <c r="B29" s="2" t="s">
        <v>261</v>
      </c>
      <c r="I29" s="2" t="s">
        <v>262</v>
      </c>
      <c r="J29" s="146">
        <f>D19+D35</f>
        <v>142</v>
      </c>
    </row>
    <row r="31" spans="2:16" x14ac:dyDescent="0.2">
      <c r="I31" s="2" t="s">
        <v>263</v>
      </c>
      <c r="J31" s="146">
        <f>G19+D35</f>
        <v>167</v>
      </c>
    </row>
    <row r="33" spans="2:4" ht="31" x14ac:dyDescent="0.45">
      <c r="B33" s="251" t="s">
        <v>137</v>
      </c>
      <c r="C33" s="280"/>
      <c r="D33" s="281"/>
    </row>
    <row r="34" spans="2:4" ht="64" x14ac:dyDescent="0.2">
      <c r="B34" s="33" t="s">
        <v>139</v>
      </c>
      <c r="C34" s="10" t="s">
        <v>140</v>
      </c>
      <c r="D34" s="34" t="s">
        <v>141</v>
      </c>
    </row>
    <row r="35" spans="2:4" x14ac:dyDescent="0.2">
      <c r="B35" s="20" t="s">
        <v>144</v>
      </c>
      <c r="C35" s="38">
        <v>0.02</v>
      </c>
      <c r="D35" s="62">
        <v>42</v>
      </c>
    </row>
    <row r="36" spans="2:4" x14ac:dyDescent="0.2">
      <c r="B36" s="20" t="s">
        <v>146</v>
      </c>
      <c r="C36" s="38">
        <v>0.03</v>
      </c>
      <c r="D36" s="62">
        <v>28</v>
      </c>
    </row>
    <row r="37" spans="2:4" x14ac:dyDescent="0.2">
      <c r="B37" s="21" t="s">
        <v>147</v>
      </c>
      <c r="C37" s="38">
        <v>0.02</v>
      </c>
      <c r="D37" s="62">
        <v>14</v>
      </c>
    </row>
    <row r="38" spans="2:4" x14ac:dyDescent="0.2">
      <c r="B38" s="39" t="s">
        <v>151</v>
      </c>
      <c r="C38" s="40">
        <v>0.03</v>
      </c>
      <c r="D38" s="63">
        <v>56</v>
      </c>
    </row>
  </sheetData>
  <mergeCells count="4">
    <mergeCell ref="B2:G2"/>
    <mergeCell ref="B3:G3"/>
    <mergeCell ref="B16:G16"/>
    <mergeCell ref="B33:D33"/>
  </mergeCells>
  <phoneticPr fontId="14"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5"/>
  <sheetViews>
    <sheetView zoomScale="116" zoomScaleNormal="120" workbookViewId="0">
      <selection activeCell="B2" sqref="B2:C5"/>
    </sheetView>
  </sheetViews>
  <sheetFormatPr baseColWidth="10" defaultColWidth="9.1640625" defaultRowHeight="15" x14ac:dyDescent="0.2"/>
  <cols>
    <col min="1" max="1" width="9.1640625" style="2"/>
    <col min="2" max="2" width="41.1640625" style="2" bestFit="1" customWidth="1"/>
    <col min="3" max="3" width="12.1640625" style="2" customWidth="1"/>
    <col min="4" max="16384" width="9.1640625" style="2"/>
  </cols>
  <sheetData>
    <row r="1" spans="2:3" ht="16" thickBot="1" x14ac:dyDescent="0.25"/>
    <row r="2" spans="2:3" ht="32" thickBot="1" x14ac:dyDescent="0.5">
      <c r="B2" s="251" t="s">
        <v>116</v>
      </c>
      <c r="C2" s="252"/>
    </row>
    <row r="3" spans="2:3" ht="16" x14ac:dyDescent="0.2">
      <c r="B3" s="4" t="s">
        <v>117</v>
      </c>
      <c r="C3" s="27" t="s">
        <v>118</v>
      </c>
    </row>
    <row r="4" spans="2:3" ht="20.25" customHeight="1" x14ac:dyDescent="0.2">
      <c r="B4" s="5" t="s">
        <v>119</v>
      </c>
      <c r="C4" s="18">
        <v>0.1</v>
      </c>
    </row>
    <row r="5" spans="2:3" ht="20.25" customHeight="1" thickBot="1" x14ac:dyDescent="0.25">
      <c r="B5" s="6" t="s">
        <v>123</v>
      </c>
      <c r="C5" s="19">
        <v>0.18</v>
      </c>
    </row>
  </sheetData>
  <mergeCells count="1">
    <mergeCell ref="B2:C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32"/>
  <sheetViews>
    <sheetView zoomScaleNormal="100" workbookViewId="0">
      <selection activeCell="B10" sqref="B10"/>
    </sheetView>
  </sheetViews>
  <sheetFormatPr baseColWidth="10" defaultColWidth="9.1640625" defaultRowHeight="15" x14ac:dyDescent="0.2"/>
  <cols>
    <col min="1" max="1" width="6" style="2" customWidth="1"/>
    <col min="2" max="2" width="10.6640625" style="2" customWidth="1"/>
    <col min="3" max="3" width="21" style="2" bestFit="1" customWidth="1"/>
    <col min="4" max="4" width="22.5" style="2" bestFit="1" customWidth="1"/>
    <col min="5" max="5" width="22.6640625" style="2" bestFit="1" customWidth="1"/>
    <col min="6" max="6" width="27.33203125" style="2" bestFit="1" customWidth="1"/>
    <col min="7" max="7" width="16.5" style="2" bestFit="1" customWidth="1"/>
    <col min="8" max="8" width="25" style="2" bestFit="1" customWidth="1"/>
    <col min="9" max="9" width="23.6640625" style="2" bestFit="1" customWidth="1"/>
    <col min="10" max="11" width="11.5" style="2" bestFit="1" customWidth="1"/>
    <col min="12" max="12" width="12.5" style="2" bestFit="1" customWidth="1"/>
    <col min="13" max="16384" width="9.1640625" style="2"/>
  </cols>
  <sheetData>
    <row r="1" spans="2:12" ht="16" thickBot="1" x14ac:dyDescent="0.25"/>
    <row r="2" spans="2:12" ht="32" thickBot="1" x14ac:dyDescent="0.5">
      <c r="B2" s="251" t="s">
        <v>264</v>
      </c>
      <c r="C2" s="282"/>
      <c r="D2" s="282"/>
      <c r="E2" s="282"/>
      <c r="F2" s="282"/>
      <c r="G2" s="282"/>
      <c r="H2" s="282"/>
      <c r="I2" s="282"/>
      <c r="J2" s="252"/>
    </row>
    <row r="3" spans="2:12" s="22" customFormat="1" ht="19" x14ac:dyDescent="0.2">
      <c r="B3" s="4" t="s">
        <v>265</v>
      </c>
      <c r="C3" s="26" t="s">
        <v>266</v>
      </c>
      <c r="D3" s="26" t="s">
        <v>267</v>
      </c>
      <c r="E3" s="26" t="s">
        <v>268</v>
      </c>
      <c r="F3" s="26" t="s">
        <v>269</v>
      </c>
      <c r="G3" s="26" t="s">
        <v>270</v>
      </c>
      <c r="H3" s="26" t="s">
        <v>271</v>
      </c>
      <c r="I3" s="26" t="s">
        <v>272</v>
      </c>
      <c r="J3" s="27" t="s">
        <v>273</v>
      </c>
    </row>
    <row r="4" spans="2:12" ht="16" x14ac:dyDescent="0.2">
      <c r="B4" s="4" t="s">
        <v>274</v>
      </c>
      <c r="C4" s="26" t="s">
        <v>275</v>
      </c>
      <c r="D4" s="7" t="s">
        <v>1</v>
      </c>
      <c r="E4" s="35">
        <v>147340</v>
      </c>
      <c r="F4" s="26">
        <v>76</v>
      </c>
      <c r="G4" s="26">
        <v>100</v>
      </c>
      <c r="H4" s="35">
        <v>2000000</v>
      </c>
      <c r="I4" s="26">
        <v>50</v>
      </c>
      <c r="J4" s="27">
        <v>70</v>
      </c>
      <c r="K4" s="196">
        <f>J4+56</f>
        <v>126</v>
      </c>
      <c r="L4" s="32" t="s">
        <v>276</v>
      </c>
    </row>
    <row r="5" spans="2:12" ht="17" thickBot="1" x14ac:dyDescent="0.25">
      <c r="B5" s="41" t="s">
        <v>277</v>
      </c>
      <c r="C5" s="44" t="s">
        <v>278</v>
      </c>
      <c r="D5" s="42" t="s">
        <v>4</v>
      </c>
      <c r="E5" s="43">
        <v>145000</v>
      </c>
      <c r="F5" s="44">
        <v>72</v>
      </c>
      <c r="G5" s="44">
        <v>100</v>
      </c>
      <c r="H5" s="43">
        <v>1500000</v>
      </c>
      <c r="I5" s="44">
        <v>50</v>
      </c>
      <c r="J5" s="45">
        <v>68</v>
      </c>
      <c r="K5" s="32"/>
      <c r="L5" s="32"/>
    </row>
    <row r="6" spans="2:12" x14ac:dyDescent="0.2">
      <c r="B6" s="25" t="s">
        <v>279</v>
      </c>
      <c r="C6" s="25"/>
      <c r="D6" s="3"/>
    </row>
    <row r="7" spans="2:12" x14ac:dyDescent="0.2">
      <c r="B7" s="24" t="s">
        <v>280</v>
      </c>
      <c r="C7" s="24"/>
    </row>
    <row r="8" spans="2:12" x14ac:dyDescent="0.2">
      <c r="B8" s="24" t="s">
        <v>281</v>
      </c>
      <c r="C8" s="24"/>
    </row>
    <row r="9" spans="2:12" x14ac:dyDescent="0.2">
      <c r="B9" s="24" t="s">
        <v>282</v>
      </c>
      <c r="C9" s="24"/>
    </row>
    <row r="10" spans="2:12" x14ac:dyDescent="0.2">
      <c r="B10" s="24" t="s">
        <v>283</v>
      </c>
      <c r="C10" s="24"/>
    </row>
    <row r="11" spans="2:12" x14ac:dyDescent="0.2">
      <c r="B11" s="24" t="s">
        <v>284</v>
      </c>
      <c r="C11" s="24"/>
    </row>
    <row r="14" spans="2:12" ht="47" x14ac:dyDescent="0.55000000000000004">
      <c r="D14" s="161" t="s">
        <v>285</v>
      </c>
    </row>
    <row r="15" spans="2:12" x14ac:dyDescent="0.2">
      <c r="D15" s="2" t="s">
        <v>286</v>
      </c>
    </row>
    <row r="18" spans="2:5" x14ac:dyDescent="0.2">
      <c r="E18" s="195">
        <f>E4*0.6</f>
        <v>88404</v>
      </c>
    </row>
    <row r="19" spans="2:5" x14ac:dyDescent="0.2">
      <c r="B19" s="2" t="s">
        <v>287</v>
      </c>
    </row>
    <row r="21" spans="2:5" ht="16" x14ac:dyDescent="0.2">
      <c r="B21" s="67" t="s">
        <v>10</v>
      </c>
      <c r="C21" s="99" t="s">
        <v>1</v>
      </c>
    </row>
    <row r="22" spans="2:5" x14ac:dyDescent="0.2">
      <c r="B22" s="93" t="s">
        <v>15</v>
      </c>
      <c r="C22" s="94">
        <v>82050</v>
      </c>
    </row>
    <row r="23" spans="2:5" x14ac:dyDescent="0.2">
      <c r="B23" s="93" t="s">
        <v>8</v>
      </c>
      <c r="C23" s="94">
        <v>80500</v>
      </c>
    </row>
    <row r="24" spans="2:5" x14ac:dyDescent="0.2">
      <c r="B24" s="86" t="s">
        <v>19</v>
      </c>
      <c r="C24" s="87">
        <v>88560</v>
      </c>
    </row>
    <row r="25" spans="2:5" x14ac:dyDescent="0.2">
      <c r="B25" s="86" t="s">
        <v>21</v>
      </c>
      <c r="C25" s="87">
        <v>88000</v>
      </c>
    </row>
    <row r="26" spans="2:5" x14ac:dyDescent="0.2">
      <c r="B26" s="86" t="s">
        <v>13</v>
      </c>
      <c r="C26" s="36">
        <v>0</v>
      </c>
    </row>
    <row r="27" spans="2:5" x14ac:dyDescent="0.2">
      <c r="B27" s="93" t="s">
        <v>23</v>
      </c>
      <c r="C27" s="36">
        <v>0</v>
      </c>
    </row>
    <row r="28" spans="2:5" x14ac:dyDescent="0.2">
      <c r="B28" s="93" t="s">
        <v>17</v>
      </c>
      <c r="C28" s="94">
        <v>92200</v>
      </c>
    </row>
    <row r="29" spans="2:5" x14ac:dyDescent="0.2">
      <c r="B29" s="86" t="s">
        <v>25</v>
      </c>
      <c r="C29" s="87">
        <v>74300</v>
      </c>
    </row>
    <row r="30" spans="2:5" x14ac:dyDescent="0.2">
      <c r="B30" s="93" t="s">
        <v>27</v>
      </c>
      <c r="C30" s="36">
        <v>0</v>
      </c>
    </row>
    <row r="31" spans="2:5" x14ac:dyDescent="0.2">
      <c r="B31" s="93" t="s">
        <v>29</v>
      </c>
      <c r="C31" s="36">
        <v>0</v>
      </c>
    </row>
    <row r="32" spans="2:5" x14ac:dyDescent="0.2">
      <c r="B32" s="86" t="s">
        <v>31</v>
      </c>
      <c r="C32" s="87">
        <v>95450</v>
      </c>
    </row>
  </sheetData>
  <mergeCells count="1">
    <mergeCell ref="B2:J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O11"/>
  <sheetViews>
    <sheetView zoomScale="110" zoomScaleNormal="110" workbookViewId="0">
      <selection activeCell="AE8" sqref="AE8"/>
    </sheetView>
  </sheetViews>
  <sheetFormatPr baseColWidth="10" defaultColWidth="9.1640625" defaultRowHeight="15" x14ac:dyDescent="0.2"/>
  <cols>
    <col min="1" max="1" width="5.33203125" style="2" customWidth="1"/>
    <col min="2" max="2" width="13.1640625" style="2" bestFit="1" customWidth="1"/>
    <col min="3" max="3" width="13.1640625" style="2" customWidth="1"/>
    <col min="4" max="4" width="9.1640625" style="2"/>
    <col min="5" max="5" width="12.1640625" style="2" customWidth="1"/>
    <col min="6" max="6" width="7.5" style="2" bestFit="1" customWidth="1"/>
    <col min="7" max="7" width="9.1640625" style="2"/>
    <col min="8" max="8" width="9.83203125" style="2" bestFit="1" customWidth="1"/>
    <col min="9" max="9" width="13.5" style="2" bestFit="1" customWidth="1"/>
    <col min="10" max="10" width="7" style="2" bestFit="1" customWidth="1"/>
    <col min="11" max="13" width="9.1640625" style="2"/>
    <col min="14" max="14" width="7.83203125" style="2" bestFit="1" customWidth="1"/>
    <col min="15" max="15" width="5.33203125" style="2" bestFit="1" customWidth="1"/>
    <col min="16" max="16384" width="9.1640625" style="2"/>
  </cols>
  <sheetData>
    <row r="1" spans="2:15" ht="16" thickBot="1" x14ac:dyDescent="0.25"/>
    <row r="2" spans="2:15" ht="32" thickBot="1" x14ac:dyDescent="0.5">
      <c r="B2" s="251" t="s">
        <v>242</v>
      </c>
      <c r="C2" s="282"/>
      <c r="D2" s="282"/>
      <c r="E2" s="282"/>
      <c r="F2" s="282"/>
      <c r="G2" s="282"/>
      <c r="H2" s="282"/>
      <c r="I2" s="282"/>
      <c r="J2" s="282"/>
      <c r="K2" s="282"/>
      <c r="L2" s="282"/>
      <c r="M2" s="252"/>
      <c r="N2" s="30" t="s">
        <v>243</v>
      </c>
      <c r="O2" s="31">
        <v>0.6</v>
      </c>
    </row>
    <row r="3" spans="2:15" x14ac:dyDescent="0.2">
      <c r="B3" s="299" t="s">
        <v>244</v>
      </c>
      <c r="C3" s="300"/>
      <c r="D3" s="300"/>
      <c r="E3" s="300"/>
      <c r="F3" s="300"/>
      <c r="G3" s="300"/>
      <c r="H3" s="300"/>
      <c r="I3" s="300"/>
      <c r="J3" s="300"/>
      <c r="K3" s="300"/>
      <c r="L3" s="300"/>
      <c r="M3" s="301"/>
    </row>
    <row r="4" spans="2:15" x14ac:dyDescent="0.2">
      <c r="B4" s="299"/>
      <c r="C4" s="300"/>
      <c r="D4" s="300"/>
      <c r="E4" s="300"/>
      <c r="F4" s="300"/>
      <c r="G4" s="300"/>
      <c r="H4" s="300"/>
      <c r="I4" s="300"/>
      <c r="J4" s="300"/>
      <c r="K4" s="300"/>
      <c r="L4" s="300"/>
      <c r="M4" s="301"/>
    </row>
    <row r="5" spans="2:15" ht="48" x14ac:dyDescent="0.2">
      <c r="B5" s="9" t="s">
        <v>245</v>
      </c>
      <c r="C5" s="10" t="s">
        <v>236</v>
      </c>
      <c r="D5" s="10" t="s">
        <v>246</v>
      </c>
      <c r="E5" s="10" t="s">
        <v>247</v>
      </c>
      <c r="F5" s="10" t="s">
        <v>248</v>
      </c>
      <c r="G5" s="10" t="s">
        <v>237</v>
      </c>
      <c r="H5" s="11" t="s">
        <v>249</v>
      </c>
      <c r="I5" s="11" t="s">
        <v>250</v>
      </c>
      <c r="J5" s="11" t="s">
        <v>251</v>
      </c>
      <c r="K5" s="10" t="s">
        <v>197</v>
      </c>
      <c r="L5" s="11" t="s">
        <v>252</v>
      </c>
      <c r="M5" s="12" t="s">
        <v>105</v>
      </c>
    </row>
    <row r="6" spans="2:15" ht="16" thickBot="1" x14ac:dyDescent="0.25">
      <c r="B6" s="13">
        <v>2000000</v>
      </c>
      <c r="C6" s="14">
        <v>0</v>
      </c>
      <c r="D6" s="1">
        <f>E6/B6*1000000</f>
        <v>0</v>
      </c>
      <c r="E6" s="1">
        <f>C6*8</f>
        <v>0</v>
      </c>
      <c r="F6" s="8">
        <f>IF(D6&gt;40,66,D6/O2)/100</f>
        <v>0</v>
      </c>
      <c r="G6" s="15">
        <v>0</v>
      </c>
      <c r="H6" s="1">
        <f>G6*7</f>
        <v>0</v>
      </c>
      <c r="I6" s="8">
        <f>H6/B6*1000000</f>
        <v>0</v>
      </c>
      <c r="J6" s="8">
        <f>IF(I6&gt;40,66,I6/O2)/100</f>
        <v>0</v>
      </c>
      <c r="K6" s="16">
        <v>0.9</v>
      </c>
      <c r="L6" s="8">
        <f>(1-K6)/3</f>
        <v>3.3333333333333326E-2</v>
      </c>
      <c r="M6" s="17">
        <f>1+F6+J6+L6</f>
        <v>1.0333333333333332</v>
      </c>
    </row>
    <row r="7" spans="2:15" x14ac:dyDescent="0.2">
      <c r="F7" s="29"/>
    </row>
    <row r="11" spans="2:15" x14ac:dyDescent="0.2">
      <c r="G11" s="28"/>
    </row>
  </sheetData>
  <mergeCells count="2">
    <mergeCell ref="B2:M2"/>
    <mergeCell ref="B3:M4"/>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3D1E1-5C14-42C8-B55E-F09A3BAD47BA}">
  <dimension ref="A1:E76"/>
  <sheetViews>
    <sheetView workbookViewId="0">
      <selection sqref="A1:E76"/>
    </sheetView>
  </sheetViews>
  <sheetFormatPr baseColWidth="10" defaultColWidth="8.83203125" defaultRowHeight="15" x14ac:dyDescent="0.2"/>
  <cols>
    <col min="1" max="1" width="7.5" bestFit="1" customWidth="1"/>
    <col min="2" max="2" width="12.33203125" bestFit="1" customWidth="1"/>
    <col min="3" max="3" width="15.6640625" bestFit="1" customWidth="1"/>
  </cols>
  <sheetData>
    <row r="1" spans="1:5" x14ac:dyDescent="0.2">
      <c r="A1" t="s">
        <v>288</v>
      </c>
      <c r="B1" t="s">
        <v>234</v>
      </c>
      <c r="C1" t="s">
        <v>289</v>
      </c>
      <c r="D1" t="s">
        <v>290</v>
      </c>
      <c r="E1" t="s">
        <v>291</v>
      </c>
    </row>
    <row r="2" spans="1:5" x14ac:dyDescent="0.2">
      <c r="A2">
        <v>2017</v>
      </c>
      <c r="B2" t="s">
        <v>292</v>
      </c>
      <c r="C2" t="s">
        <v>293</v>
      </c>
      <c r="D2" s="98">
        <v>20000</v>
      </c>
      <c r="E2" s="234">
        <v>0.75</v>
      </c>
    </row>
    <row r="3" spans="1:5" x14ac:dyDescent="0.2">
      <c r="A3">
        <v>2015</v>
      </c>
      <c r="B3" t="s">
        <v>294</v>
      </c>
      <c r="C3" t="s">
        <v>295</v>
      </c>
      <c r="D3" s="98">
        <v>3700</v>
      </c>
      <c r="E3" s="234">
        <v>0.22</v>
      </c>
    </row>
    <row r="4" spans="1:5" x14ac:dyDescent="0.2">
      <c r="A4">
        <v>2017</v>
      </c>
      <c r="B4" t="s">
        <v>294</v>
      </c>
      <c r="C4" t="s">
        <v>296</v>
      </c>
      <c r="D4" s="98">
        <v>4000</v>
      </c>
      <c r="E4" s="234">
        <v>0.22</v>
      </c>
    </row>
    <row r="5" spans="1:5" x14ac:dyDescent="0.2">
      <c r="A5">
        <v>2015</v>
      </c>
      <c r="B5" t="s">
        <v>294</v>
      </c>
      <c r="C5" t="s">
        <v>297</v>
      </c>
      <c r="D5" s="98">
        <v>13300</v>
      </c>
      <c r="E5" s="234">
        <v>0.56000000000000005</v>
      </c>
    </row>
    <row r="6" spans="1:5" x14ac:dyDescent="0.2">
      <c r="A6">
        <v>2017</v>
      </c>
      <c r="B6" t="s">
        <v>294</v>
      </c>
      <c r="C6" t="s">
        <v>298</v>
      </c>
      <c r="D6" s="98">
        <v>36000</v>
      </c>
      <c r="E6" s="234">
        <v>1</v>
      </c>
    </row>
    <row r="7" spans="1:5" x14ac:dyDescent="0.2">
      <c r="A7">
        <v>2015</v>
      </c>
      <c r="B7" t="s">
        <v>292</v>
      </c>
      <c r="C7" t="s">
        <v>299</v>
      </c>
      <c r="D7" s="98">
        <v>2300</v>
      </c>
      <c r="E7" s="234">
        <v>0.35</v>
      </c>
    </row>
    <row r="8" spans="1:5" x14ac:dyDescent="0.2">
      <c r="A8">
        <v>2016</v>
      </c>
      <c r="B8" t="s">
        <v>294</v>
      </c>
      <c r="C8" t="s">
        <v>295</v>
      </c>
      <c r="D8" s="98">
        <v>2300</v>
      </c>
      <c r="E8" s="234">
        <v>0.28000000000000003</v>
      </c>
    </row>
    <row r="9" spans="1:5" x14ac:dyDescent="0.2">
      <c r="A9">
        <v>2016</v>
      </c>
      <c r="B9" t="s">
        <v>292</v>
      </c>
      <c r="C9" t="s">
        <v>300</v>
      </c>
      <c r="D9" s="98">
        <v>3400</v>
      </c>
      <c r="E9" s="234">
        <v>0.36</v>
      </c>
    </row>
    <row r="10" spans="1:5" x14ac:dyDescent="0.2">
      <c r="A10">
        <v>2016</v>
      </c>
      <c r="B10" t="s">
        <v>301</v>
      </c>
      <c r="C10" t="s">
        <v>302</v>
      </c>
      <c r="D10" s="98">
        <v>6300</v>
      </c>
      <c r="E10" s="234">
        <v>0.4</v>
      </c>
    </row>
    <row r="11" spans="1:5" x14ac:dyDescent="0.2">
      <c r="A11">
        <v>2017</v>
      </c>
      <c r="B11" t="s">
        <v>292</v>
      </c>
      <c r="C11" t="s">
        <v>300</v>
      </c>
      <c r="D11" s="98">
        <v>5400</v>
      </c>
      <c r="E11" s="234">
        <v>0.38</v>
      </c>
    </row>
    <row r="12" spans="1:5" x14ac:dyDescent="0.2">
      <c r="A12">
        <v>2016</v>
      </c>
      <c r="B12" t="s">
        <v>303</v>
      </c>
      <c r="C12" t="s">
        <v>304</v>
      </c>
      <c r="D12" s="98">
        <v>17000</v>
      </c>
      <c r="E12" s="234">
        <v>0.9</v>
      </c>
    </row>
    <row r="13" spans="1:5" x14ac:dyDescent="0.2">
      <c r="A13">
        <v>2016</v>
      </c>
      <c r="B13" t="s">
        <v>303</v>
      </c>
      <c r="C13" t="s">
        <v>305</v>
      </c>
      <c r="D13" s="98">
        <v>21600</v>
      </c>
      <c r="E13" s="234">
        <v>0.9</v>
      </c>
    </row>
    <row r="14" spans="1:5" x14ac:dyDescent="0.2">
      <c r="A14">
        <v>2016</v>
      </c>
      <c r="B14" t="s">
        <v>303</v>
      </c>
      <c r="C14" t="s">
        <v>306</v>
      </c>
      <c r="D14" s="98">
        <v>29800</v>
      </c>
      <c r="E14" s="234">
        <v>0.9</v>
      </c>
    </row>
    <row r="15" spans="1:5" x14ac:dyDescent="0.2">
      <c r="A15">
        <v>2016</v>
      </c>
      <c r="B15" t="s">
        <v>292</v>
      </c>
      <c r="C15" t="s">
        <v>307</v>
      </c>
      <c r="D15" s="98">
        <v>1000</v>
      </c>
      <c r="E15" s="234">
        <v>0.23</v>
      </c>
    </row>
    <row r="16" spans="1:5" x14ac:dyDescent="0.2">
      <c r="A16">
        <v>2015</v>
      </c>
      <c r="B16" t="s">
        <v>294</v>
      </c>
      <c r="C16" t="s">
        <v>308</v>
      </c>
      <c r="D16" s="98">
        <v>6700</v>
      </c>
      <c r="E16" s="234">
        <v>0.05</v>
      </c>
    </row>
    <row r="17" spans="1:5" x14ac:dyDescent="0.2">
      <c r="A17">
        <v>2017</v>
      </c>
      <c r="B17" t="s">
        <v>292</v>
      </c>
      <c r="C17" t="s">
        <v>307</v>
      </c>
      <c r="D17" s="98">
        <v>600</v>
      </c>
      <c r="E17" s="234">
        <v>0.27</v>
      </c>
    </row>
    <row r="18" spans="1:5" x14ac:dyDescent="0.2">
      <c r="A18">
        <v>2015</v>
      </c>
      <c r="B18" t="s">
        <v>301</v>
      </c>
      <c r="C18" t="s">
        <v>309</v>
      </c>
      <c r="D18" s="98">
        <v>3500</v>
      </c>
      <c r="E18" s="234">
        <v>0.5</v>
      </c>
    </row>
    <row r="19" spans="1:5" x14ac:dyDescent="0.2">
      <c r="A19">
        <v>2017</v>
      </c>
      <c r="B19" t="s">
        <v>294</v>
      </c>
      <c r="C19" t="s">
        <v>308</v>
      </c>
      <c r="D19" s="98">
        <v>7500</v>
      </c>
      <c r="E19" s="234">
        <v>0.4</v>
      </c>
    </row>
    <row r="20" spans="1:5" x14ac:dyDescent="0.2">
      <c r="A20">
        <v>2017</v>
      </c>
      <c r="B20" t="s">
        <v>303</v>
      </c>
      <c r="C20" t="s">
        <v>310</v>
      </c>
      <c r="D20" s="98">
        <v>63700</v>
      </c>
      <c r="E20" s="234">
        <v>0.9</v>
      </c>
    </row>
    <row r="21" spans="1:5" x14ac:dyDescent="0.2">
      <c r="A21">
        <v>2017</v>
      </c>
      <c r="B21" t="s">
        <v>301</v>
      </c>
      <c r="C21" t="s">
        <v>311</v>
      </c>
      <c r="D21" s="98">
        <v>9300</v>
      </c>
      <c r="E21" s="234">
        <v>0.6</v>
      </c>
    </row>
    <row r="22" spans="1:5" x14ac:dyDescent="0.2">
      <c r="A22">
        <v>2017</v>
      </c>
      <c r="B22" t="s">
        <v>301</v>
      </c>
      <c r="C22" t="s">
        <v>302</v>
      </c>
      <c r="D22" s="98">
        <v>8500</v>
      </c>
      <c r="E22" s="234">
        <v>0.46</v>
      </c>
    </row>
    <row r="23" spans="1:5" x14ac:dyDescent="0.2">
      <c r="A23">
        <v>2017</v>
      </c>
      <c r="B23" t="s">
        <v>303</v>
      </c>
      <c r="C23" t="s">
        <v>312</v>
      </c>
      <c r="D23" s="98">
        <v>33700</v>
      </c>
      <c r="E23" s="234">
        <v>0.92</v>
      </c>
    </row>
    <row r="24" spans="1:5" x14ac:dyDescent="0.2">
      <c r="A24">
        <v>2017</v>
      </c>
      <c r="B24" t="s">
        <v>294</v>
      </c>
      <c r="C24" t="s">
        <v>313</v>
      </c>
      <c r="D24" s="98">
        <v>600</v>
      </c>
      <c r="E24" s="234">
        <v>0.15</v>
      </c>
    </row>
    <row r="25" spans="1:5" x14ac:dyDescent="0.2">
      <c r="A25">
        <v>2015</v>
      </c>
      <c r="B25" t="s">
        <v>301</v>
      </c>
      <c r="C25" t="s">
        <v>302</v>
      </c>
      <c r="D25" s="98">
        <v>3100</v>
      </c>
      <c r="E25" s="234">
        <v>0.35</v>
      </c>
    </row>
    <row r="26" spans="1:5" x14ac:dyDescent="0.2">
      <c r="A26">
        <v>2017</v>
      </c>
      <c r="B26" t="s">
        <v>303</v>
      </c>
      <c r="C26" t="s">
        <v>314</v>
      </c>
      <c r="D26" s="98">
        <v>30700</v>
      </c>
      <c r="E26" s="234">
        <v>0.95</v>
      </c>
    </row>
    <row r="27" spans="1:5" x14ac:dyDescent="0.2">
      <c r="A27">
        <v>2016</v>
      </c>
      <c r="B27" t="s">
        <v>303</v>
      </c>
      <c r="C27" t="s">
        <v>314</v>
      </c>
      <c r="D27" s="98">
        <v>16400</v>
      </c>
      <c r="E27" s="234">
        <v>0.8</v>
      </c>
    </row>
    <row r="28" spans="1:5" x14ac:dyDescent="0.2">
      <c r="A28">
        <v>2016</v>
      </c>
      <c r="B28" t="s">
        <v>303</v>
      </c>
      <c r="C28" t="s">
        <v>312</v>
      </c>
      <c r="D28" s="98">
        <v>22100</v>
      </c>
      <c r="E28" s="234">
        <v>0.9</v>
      </c>
    </row>
    <row r="29" spans="1:5" x14ac:dyDescent="0.2">
      <c r="A29">
        <v>2017</v>
      </c>
      <c r="B29" t="s">
        <v>303</v>
      </c>
      <c r="C29" t="s">
        <v>304</v>
      </c>
      <c r="D29" s="98">
        <v>34000</v>
      </c>
      <c r="E29" s="234">
        <v>0.95</v>
      </c>
    </row>
    <row r="30" spans="1:5" x14ac:dyDescent="0.2">
      <c r="A30">
        <v>2015</v>
      </c>
      <c r="B30" t="s">
        <v>303</v>
      </c>
      <c r="C30" t="s">
        <v>314</v>
      </c>
      <c r="D30" s="98">
        <v>700</v>
      </c>
      <c r="E30" s="234">
        <v>0.1</v>
      </c>
    </row>
    <row r="31" spans="1:5" x14ac:dyDescent="0.2">
      <c r="A31">
        <v>2015</v>
      </c>
      <c r="B31" t="s">
        <v>294</v>
      </c>
      <c r="C31" t="s">
        <v>298</v>
      </c>
      <c r="D31" s="98">
        <v>3300</v>
      </c>
      <c r="E31" s="234">
        <v>0.3</v>
      </c>
    </row>
    <row r="32" spans="1:5" x14ac:dyDescent="0.2">
      <c r="A32">
        <v>2017</v>
      </c>
      <c r="B32" t="s">
        <v>301</v>
      </c>
      <c r="C32" t="s">
        <v>309</v>
      </c>
      <c r="D32" s="98">
        <v>16900</v>
      </c>
      <c r="E32" s="234">
        <v>0.65</v>
      </c>
    </row>
    <row r="33" spans="1:5" x14ac:dyDescent="0.2">
      <c r="A33">
        <v>2017</v>
      </c>
      <c r="B33" t="s">
        <v>303</v>
      </c>
      <c r="C33" t="s">
        <v>305</v>
      </c>
      <c r="D33" s="98">
        <v>36700</v>
      </c>
      <c r="E33" s="234">
        <v>0.9</v>
      </c>
    </row>
    <row r="34" spans="1:5" x14ac:dyDescent="0.2">
      <c r="A34">
        <v>2015</v>
      </c>
      <c r="B34" t="s">
        <v>303</v>
      </c>
      <c r="C34" t="s">
        <v>304</v>
      </c>
      <c r="D34" s="98">
        <v>8300</v>
      </c>
      <c r="E34" s="234">
        <v>0.99</v>
      </c>
    </row>
    <row r="35" spans="1:5" x14ac:dyDescent="0.2">
      <c r="A35">
        <v>2016</v>
      </c>
      <c r="B35" t="s">
        <v>294</v>
      </c>
      <c r="C35" t="s">
        <v>296</v>
      </c>
      <c r="D35" s="98">
        <v>2900</v>
      </c>
      <c r="E35" s="234">
        <v>0.36</v>
      </c>
    </row>
    <row r="36" spans="1:5" x14ac:dyDescent="0.2">
      <c r="A36">
        <v>2015</v>
      </c>
      <c r="B36" t="s">
        <v>303</v>
      </c>
      <c r="C36" t="s">
        <v>310</v>
      </c>
      <c r="D36" s="98">
        <v>8700</v>
      </c>
      <c r="E36" s="234">
        <v>0.9</v>
      </c>
    </row>
    <row r="37" spans="1:5" x14ac:dyDescent="0.2">
      <c r="A37">
        <v>2017</v>
      </c>
      <c r="B37" t="s">
        <v>303</v>
      </c>
      <c r="C37" t="s">
        <v>306</v>
      </c>
      <c r="D37" s="98">
        <v>35000</v>
      </c>
      <c r="E37" s="234">
        <v>1</v>
      </c>
    </row>
    <row r="38" spans="1:5" x14ac:dyDescent="0.2">
      <c r="A38">
        <v>2016</v>
      </c>
      <c r="B38" t="s">
        <v>301</v>
      </c>
      <c r="C38" t="s">
        <v>309</v>
      </c>
      <c r="D38" s="98">
        <v>8300</v>
      </c>
      <c r="E38" s="234">
        <v>0.46</v>
      </c>
    </row>
    <row r="39" spans="1:5" x14ac:dyDescent="0.2">
      <c r="A39">
        <v>2016</v>
      </c>
      <c r="B39" t="s">
        <v>292</v>
      </c>
      <c r="C39" t="s">
        <v>315</v>
      </c>
      <c r="D39" s="98">
        <v>16700</v>
      </c>
      <c r="E39" s="234">
        <v>0.75</v>
      </c>
    </row>
    <row r="40" spans="1:5" x14ac:dyDescent="0.2">
      <c r="A40">
        <v>2016</v>
      </c>
      <c r="B40" t="s">
        <v>301</v>
      </c>
      <c r="C40" t="s">
        <v>316</v>
      </c>
      <c r="D40" s="98">
        <v>1800</v>
      </c>
      <c r="E40" s="234">
        <v>0.15</v>
      </c>
    </row>
    <row r="41" spans="1:5" x14ac:dyDescent="0.2">
      <c r="A41">
        <v>2017</v>
      </c>
      <c r="B41" t="s">
        <v>294</v>
      </c>
      <c r="C41" t="s">
        <v>295</v>
      </c>
      <c r="D41" s="98">
        <v>3700</v>
      </c>
      <c r="E41" s="234">
        <v>0.48</v>
      </c>
    </row>
    <row r="42" spans="1:5" x14ac:dyDescent="0.2">
      <c r="A42">
        <v>2016</v>
      </c>
      <c r="B42" t="s">
        <v>294</v>
      </c>
      <c r="C42" t="s">
        <v>297</v>
      </c>
      <c r="D42" s="98">
        <v>12000</v>
      </c>
      <c r="E42" s="234">
        <v>0.66</v>
      </c>
    </row>
    <row r="43" spans="1:5" x14ac:dyDescent="0.2">
      <c r="A43">
        <v>2015</v>
      </c>
      <c r="B43" t="s">
        <v>303</v>
      </c>
      <c r="C43" t="s">
        <v>306</v>
      </c>
      <c r="D43" s="98">
        <v>10000</v>
      </c>
      <c r="E43" s="234">
        <v>0.85</v>
      </c>
    </row>
    <row r="44" spans="1:5" x14ac:dyDescent="0.2">
      <c r="A44">
        <v>2015</v>
      </c>
      <c r="B44" t="s">
        <v>292</v>
      </c>
      <c r="C44" t="s">
        <v>307</v>
      </c>
      <c r="D44" s="98">
        <v>500</v>
      </c>
      <c r="E44" s="234">
        <v>0.35</v>
      </c>
    </row>
    <row r="45" spans="1:5" x14ac:dyDescent="0.2">
      <c r="A45">
        <v>2017</v>
      </c>
      <c r="B45" t="s">
        <v>292</v>
      </c>
      <c r="C45" t="s">
        <v>315</v>
      </c>
      <c r="D45" s="98">
        <v>21800</v>
      </c>
      <c r="E45" s="234">
        <v>0.96</v>
      </c>
    </row>
    <row r="46" spans="1:5" x14ac:dyDescent="0.2">
      <c r="A46">
        <v>2016</v>
      </c>
      <c r="B46" t="s">
        <v>292</v>
      </c>
      <c r="C46" t="s">
        <v>293</v>
      </c>
      <c r="D46" s="98">
        <v>16400</v>
      </c>
      <c r="E46" s="234">
        <v>0.7</v>
      </c>
    </row>
    <row r="47" spans="1:5" x14ac:dyDescent="0.2">
      <c r="A47">
        <v>2016</v>
      </c>
      <c r="B47" t="s">
        <v>294</v>
      </c>
      <c r="C47" t="s">
        <v>313</v>
      </c>
      <c r="D47" s="98">
        <v>400</v>
      </c>
      <c r="E47" s="234">
        <v>0.2</v>
      </c>
    </row>
    <row r="48" spans="1:5" x14ac:dyDescent="0.2">
      <c r="A48">
        <v>2015</v>
      </c>
      <c r="B48" t="s">
        <v>294</v>
      </c>
      <c r="C48" t="s">
        <v>317</v>
      </c>
      <c r="D48" s="98">
        <v>3300</v>
      </c>
      <c r="E48" s="234">
        <v>0.36</v>
      </c>
    </row>
    <row r="49" spans="1:5" x14ac:dyDescent="0.2">
      <c r="A49">
        <v>2017</v>
      </c>
      <c r="B49" t="s">
        <v>292</v>
      </c>
      <c r="C49" t="s">
        <v>299</v>
      </c>
      <c r="D49" s="98">
        <v>5000</v>
      </c>
      <c r="E49" s="234">
        <v>0.35</v>
      </c>
    </row>
    <row r="50" spans="1:5" x14ac:dyDescent="0.2">
      <c r="A50">
        <v>2016</v>
      </c>
      <c r="B50" t="s">
        <v>292</v>
      </c>
      <c r="C50" t="s">
        <v>299</v>
      </c>
      <c r="D50" s="98">
        <v>3300</v>
      </c>
      <c r="E50" s="234">
        <v>0.38</v>
      </c>
    </row>
    <row r="51" spans="1:5" x14ac:dyDescent="0.2">
      <c r="A51">
        <v>2015</v>
      </c>
      <c r="B51" t="s">
        <v>292</v>
      </c>
      <c r="C51" t="s">
        <v>318</v>
      </c>
      <c r="D51" s="98">
        <v>800</v>
      </c>
      <c r="E51" s="234">
        <v>0.36</v>
      </c>
    </row>
    <row r="52" spans="1:5" x14ac:dyDescent="0.2">
      <c r="A52">
        <v>2016</v>
      </c>
      <c r="B52" t="s">
        <v>294</v>
      </c>
      <c r="C52" t="s">
        <v>319</v>
      </c>
      <c r="D52" s="98">
        <v>15600</v>
      </c>
      <c r="E52" s="234">
        <v>0.65</v>
      </c>
    </row>
    <row r="53" spans="1:5" x14ac:dyDescent="0.2">
      <c r="A53">
        <v>2016</v>
      </c>
      <c r="B53" t="s">
        <v>292</v>
      </c>
      <c r="C53" t="s">
        <v>318</v>
      </c>
      <c r="D53" s="98">
        <v>1500</v>
      </c>
      <c r="E53" s="234">
        <v>0.17</v>
      </c>
    </row>
    <row r="54" spans="1:5" x14ac:dyDescent="0.2">
      <c r="A54">
        <v>2017</v>
      </c>
      <c r="B54" t="s">
        <v>292</v>
      </c>
      <c r="C54" t="s">
        <v>318</v>
      </c>
      <c r="D54" s="98">
        <v>6200</v>
      </c>
      <c r="E54" s="234">
        <v>0.38</v>
      </c>
    </row>
    <row r="55" spans="1:5" x14ac:dyDescent="0.2">
      <c r="A55">
        <v>2017</v>
      </c>
      <c r="B55" t="s">
        <v>294</v>
      </c>
      <c r="C55" t="s">
        <v>319</v>
      </c>
      <c r="D55" s="98">
        <v>27000</v>
      </c>
      <c r="E55" s="234">
        <v>0.88</v>
      </c>
    </row>
    <row r="56" spans="1:5" x14ac:dyDescent="0.2">
      <c r="A56">
        <v>2016</v>
      </c>
      <c r="B56" t="s">
        <v>292</v>
      </c>
      <c r="C56" t="s">
        <v>320</v>
      </c>
      <c r="D56" s="98">
        <v>2800</v>
      </c>
      <c r="E56" s="234">
        <v>0.38</v>
      </c>
    </row>
    <row r="57" spans="1:5" x14ac:dyDescent="0.2">
      <c r="A57">
        <v>2016</v>
      </c>
      <c r="B57" t="s">
        <v>301</v>
      </c>
      <c r="C57" t="s">
        <v>311</v>
      </c>
      <c r="D57" s="98">
        <v>6700</v>
      </c>
      <c r="E57" s="234">
        <v>0.46</v>
      </c>
    </row>
    <row r="58" spans="1:5" x14ac:dyDescent="0.2">
      <c r="A58">
        <v>2015</v>
      </c>
      <c r="B58" t="s">
        <v>294</v>
      </c>
      <c r="C58" t="s">
        <v>319</v>
      </c>
      <c r="D58" s="98">
        <v>13300</v>
      </c>
      <c r="E58" s="234">
        <v>0.5</v>
      </c>
    </row>
    <row r="59" spans="1:5" x14ac:dyDescent="0.2">
      <c r="A59">
        <v>2016</v>
      </c>
      <c r="B59" t="s">
        <v>303</v>
      </c>
      <c r="C59" t="s">
        <v>310</v>
      </c>
      <c r="D59" s="98">
        <v>13800</v>
      </c>
      <c r="E59" s="234">
        <v>0.85</v>
      </c>
    </row>
    <row r="60" spans="1:5" x14ac:dyDescent="0.2">
      <c r="A60">
        <v>2017</v>
      </c>
      <c r="B60" t="s">
        <v>294</v>
      </c>
      <c r="C60" t="s">
        <v>317</v>
      </c>
      <c r="D60" s="98">
        <v>2400</v>
      </c>
      <c r="E60" s="234">
        <v>0.35</v>
      </c>
    </row>
    <row r="61" spans="1:5" x14ac:dyDescent="0.2">
      <c r="A61">
        <v>2015</v>
      </c>
      <c r="B61" t="s">
        <v>303</v>
      </c>
      <c r="C61" t="s">
        <v>312</v>
      </c>
      <c r="D61" s="98">
        <v>300</v>
      </c>
      <c r="E61" s="234">
        <v>0.05</v>
      </c>
    </row>
    <row r="62" spans="1:5" x14ac:dyDescent="0.2">
      <c r="A62">
        <v>2015</v>
      </c>
      <c r="B62" t="s">
        <v>292</v>
      </c>
      <c r="C62" t="s">
        <v>320</v>
      </c>
      <c r="D62" s="98">
        <v>2100</v>
      </c>
      <c r="E62" s="234">
        <v>0.49</v>
      </c>
    </row>
    <row r="63" spans="1:5" x14ac:dyDescent="0.2">
      <c r="A63">
        <v>2015</v>
      </c>
      <c r="B63" t="s">
        <v>292</v>
      </c>
      <c r="C63" t="s">
        <v>300</v>
      </c>
      <c r="D63" s="98">
        <v>2300</v>
      </c>
      <c r="E63" s="234">
        <v>0.34</v>
      </c>
    </row>
    <row r="64" spans="1:5" x14ac:dyDescent="0.2">
      <c r="A64">
        <v>2015</v>
      </c>
      <c r="B64" t="s">
        <v>292</v>
      </c>
      <c r="C64" t="s">
        <v>315</v>
      </c>
      <c r="D64" s="98">
        <v>10000</v>
      </c>
      <c r="E64" s="234">
        <v>0.66</v>
      </c>
    </row>
    <row r="65" spans="1:5" x14ac:dyDescent="0.2">
      <c r="A65">
        <v>2015</v>
      </c>
      <c r="B65" t="s">
        <v>301</v>
      </c>
      <c r="C65" t="s">
        <v>316</v>
      </c>
      <c r="D65" s="98">
        <v>500</v>
      </c>
      <c r="E65" s="234">
        <v>0.22</v>
      </c>
    </row>
    <row r="66" spans="1:5" x14ac:dyDescent="0.2">
      <c r="A66">
        <v>2016</v>
      </c>
      <c r="B66" t="s">
        <v>294</v>
      </c>
      <c r="C66" t="s">
        <v>308</v>
      </c>
      <c r="D66" s="98">
        <v>3800</v>
      </c>
      <c r="E66" s="234">
        <v>0.48</v>
      </c>
    </row>
    <row r="67" spans="1:5" x14ac:dyDescent="0.2">
      <c r="A67">
        <v>2015</v>
      </c>
      <c r="B67" t="s">
        <v>301</v>
      </c>
      <c r="C67" t="s">
        <v>311</v>
      </c>
      <c r="D67" s="98">
        <v>3200</v>
      </c>
      <c r="E67" s="234">
        <v>0.48</v>
      </c>
    </row>
    <row r="68" spans="1:5" x14ac:dyDescent="0.2">
      <c r="A68">
        <v>2017</v>
      </c>
      <c r="B68" t="s">
        <v>294</v>
      </c>
      <c r="C68" t="s">
        <v>297</v>
      </c>
      <c r="D68" s="98">
        <v>23000</v>
      </c>
      <c r="E68" s="234">
        <v>1</v>
      </c>
    </row>
    <row r="69" spans="1:5" x14ac:dyDescent="0.2">
      <c r="A69">
        <v>2015</v>
      </c>
      <c r="B69" t="s">
        <v>294</v>
      </c>
      <c r="C69" t="s">
        <v>296</v>
      </c>
      <c r="D69" s="98">
        <v>700</v>
      </c>
      <c r="E69" s="234">
        <v>0.28000000000000003</v>
      </c>
    </row>
    <row r="70" spans="1:5" x14ac:dyDescent="0.2">
      <c r="A70">
        <v>2015</v>
      </c>
      <c r="B70" t="s">
        <v>303</v>
      </c>
      <c r="C70" t="s">
        <v>305</v>
      </c>
      <c r="D70" s="98">
        <v>1300</v>
      </c>
      <c r="E70" s="234">
        <v>0.9</v>
      </c>
    </row>
    <row r="71" spans="1:5" x14ac:dyDescent="0.2">
      <c r="A71">
        <v>2016</v>
      </c>
      <c r="B71" t="s">
        <v>294</v>
      </c>
      <c r="C71" t="s">
        <v>317</v>
      </c>
      <c r="D71" s="98">
        <v>1300</v>
      </c>
      <c r="E71" s="234">
        <v>0.25</v>
      </c>
    </row>
    <row r="72" spans="1:5" x14ac:dyDescent="0.2">
      <c r="A72">
        <v>2016</v>
      </c>
      <c r="B72" t="s">
        <v>294</v>
      </c>
      <c r="C72" t="s">
        <v>298</v>
      </c>
      <c r="D72" s="98">
        <v>22100</v>
      </c>
      <c r="E72" s="234">
        <v>0.99</v>
      </c>
    </row>
    <row r="73" spans="1:5" x14ac:dyDescent="0.2">
      <c r="A73">
        <v>2017</v>
      </c>
      <c r="B73" t="s">
        <v>292</v>
      </c>
      <c r="C73" t="s">
        <v>320</v>
      </c>
      <c r="D73" s="98">
        <v>3100</v>
      </c>
      <c r="E73" s="234">
        <v>0.42</v>
      </c>
    </row>
    <row r="74" spans="1:5" x14ac:dyDescent="0.2">
      <c r="A74">
        <v>2015</v>
      </c>
      <c r="B74" t="s">
        <v>294</v>
      </c>
      <c r="C74" t="s">
        <v>313</v>
      </c>
      <c r="D74" s="98">
        <v>500</v>
      </c>
      <c r="E74" s="234">
        <v>0.5</v>
      </c>
    </row>
    <row r="75" spans="1:5" x14ac:dyDescent="0.2">
      <c r="A75">
        <v>2017</v>
      </c>
      <c r="B75" t="s">
        <v>301</v>
      </c>
      <c r="C75" t="s">
        <v>316</v>
      </c>
      <c r="D75" s="98">
        <v>3100</v>
      </c>
      <c r="E75" s="234">
        <v>0.22</v>
      </c>
    </row>
    <row r="76" spans="1:5" x14ac:dyDescent="0.2">
      <c r="A76">
        <v>2015</v>
      </c>
      <c r="B76" t="s">
        <v>292</v>
      </c>
      <c r="C76" t="s">
        <v>293</v>
      </c>
      <c r="D76" s="98">
        <v>8700</v>
      </c>
      <c r="E76" s="234">
        <v>0.92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1102CCBDEA29B4AADEDCF6C69CE370D" ma:contentTypeVersion="10" ma:contentTypeDescription="Create a new document." ma:contentTypeScope="" ma:versionID="cfc8733a3c2b9a5e4ba747a111741ad6">
  <xsd:schema xmlns:xsd="http://www.w3.org/2001/XMLSchema" xmlns:xs="http://www.w3.org/2001/XMLSchema" xmlns:p="http://schemas.microsoft.com/office/2006/metadata/properties" xmlns:ns3="6954e57a-3fcf-4eff-83e6-61abe672a1d2" xmlns:ns4="5c51dbca-abbc-4645-ae5b-a0a58779d89a" targetNamespace="http://schemas.microsoft.com/office/2006/metadata/properties" ma:root="true" ma:fieldsID="9f3c307c932b26b2131795b305e271a8" ns3:_="" ns4:_="">
    <xsd:import namespace="6954e57a-3fcf-4eff-83e6-61abe672a1d2"/>
    <xsd:import namespace="5c51dbca-abbc-4645-ae5b-a0a58779d89a"/>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4:SharedWithDetails" minOccurs="0"/>
                <xsd:element ref="ns4:SharingHintHash" minOccurs="0"/>
                <xsd:element ref="ns3:MediaServiceAutoKeyPoints" minOccurs="0"/>
                <xsd:element ref="ns3:MediaServiceKeyPoints" minOccurs="0"/>
                <xsd:element ref="ns3:MediaLengthInSeconds" minOccurs="0"/>
                <xsd:element ref="ns3: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54e57a-3fcf-4eff-83e6-61abe672a1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c51dbca-abbc-4645-ae5b-a0a58779d89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546A51-D4A5-47ED-ACF3-877D22DD94F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1600D28-36BB-479F-B177-8E1B953404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54e57a-3fcf-4eff-83e6-61abe672a1d2"/>
    <ds:schemaRef ds:uri="5c51dbca-abbc-4645-ae5b-a0a58779d8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E92DAC-AA12-4CCB-A28E-FB47122E76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Cost Breakdown</vt:lpstr>
      <vt:lpstr>Pricing Scheme</vt:lpstr>
      <vt:lpstr>Exhibit 0 (Schedule)</vt:lpstr>
      <vt:lpstr>Sheet5</vt:lpstr>
      <vt:lpstr>Sheet6</vt:lpstr>
      <vt:lpstr>Sheet3</vt:lpstr>
      <vt:lpstr>Cost Calculator For Supplier</vt:lpstr>
      <vt:lpstr>Full schedule</vt:lpstr>
      <vt:lpstr>Exhibit 2 (QSL)</vt:lpstr>
      <vt:lpstr>Lead Times Supplier</vt:lpstr>
      <vt:lpstr>Exhibit 6 (Transit Time)</vt:lpstr>
      <vt:lpstr>Exhibit 5 (Bids)</vt:lpstr>
      <vt:lpstr>Exhibit 3 (Discounts)</vt:lpstr>
      <vt:lpstr>Exhibit 1 (Cost &amp; Capacity)</vt:lpstr>
      <vt:lpstr>Exhibit 4 (SPI)</vt:lpstr>
      <vt:lpstr>Sheet2</vt:lpstr>
    </vt:vector>
  </TitlesOfParts>
  <Manager/>
  <Company>FMC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FMC Technology User</dc:creator>
  <cp:keywords/>
  <dc:description/>
  <cp:lastModifiedBy>Shahad Alghamdi</cp:lastModifiedBy>
  <cp:revision/>
  <dcterms:created xsi:type="dcterms:W3CDTF">2012-08-24T19:02:04Z</dcterms:created>
  <dcterms:modified xsi:type="dcterms:W3CDTF">2024-07-12T01:07:07Z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b48b937-0ae3-46f5-b32e-f3232b5be847_Enabled">
    <vt:lpwstr>True</vt:lpwstr>
  </property>
  <property fmtid="{D5CDD505-2E9C-101B-9397-08002B2CF9AE}" pid="3" name="MSIP_Label_3b48b937-0ae3-46f5-b32e-f3232b5be847_SiteId">
    <vt:lpwstr>9179d01a-e94c-4488-b5f0-4554bc474f8c</vt:lpwstr>
  </property>
  <property fmtid="{D5CDD505-2E9C-101B-9397-08002B2CF9AE}" pid="4" name="MSIP_Label_3b48b937-0ae3-46f5-b32e-f3232b5be847_Owner">
    <vt:lpwstr>Michael.Morrissey@technipfmc.com</vt:lpwstr>
  </property>
  <property fmtid="{D5CDD505-2E9C-101B-9397-08002B2CF9AE}" pid="5" name="MSIP_Label_3b48b937-0ae3-46f5-b32e-f3232b5be847_SetDate">
    <vt:lpwstr>2019-10-21T15:11:11.8719862Z</vt:lpwstr>
  </property>
  <property fmtid="{D5CDD505-2E9C-101B-9397-08002B2CF9AE}" pid="6" name="MSIP_Label_3b48b937-0ae3-46f5-b32e-f3232b5be847_Name">
    <vt:lpwstr>General</vt:lpwstr>
  </property>
  <property fmtid="{D5CDD505-2E9C-101B-9397-08002B2CF9AE}" pid="7" name="MSIP_Label_3b48b937-0ae3-46f5-b32e-f3232b5be847_Application">
    <vt:lpwstr>Microsoft Azure Information Protection</vt:lpwstr>
  </property>
  <property fmtid="{D5CDD505-2E9C-101B-9397-08002B2CF9AE}" pid="8" name="MSIP_Label_3b48b937-0ae3-46f5-b32e-f3232b5be847_Extended_MSFT_Method">
    <vt:lpwstr>Automatic</vt:lpwstr>
  </property>
  <property fmtid="{D5CDD505-2E9C-101B-9397-08002B2CF9AE}" pid="9" name="MSIP_Label_8caabacf-b917-4a45-9a5f-ed3a53d2eeb7_Enabled">
    <vt:lpwstr>true</vt:lpwstr>
  </property>
  <property fmtid="{D5CDD505-2E9C-101B-9397-08002B2CF9AE}" pid="10" name="MSIP_Label_8caabacf-b917-4a45-9a5f-ed3a53d2eeb7_SetDate">
    <vt:lpwstr>2021-10-13T18:49:42Z</vt:lpwstr>
  </property>
  <property fmtid="{D5CDD505-2E9C-101B-9397-08002B2CF9AE}" pid="11" name="MSIP_Label_8caabacf-b917-4a45-9a5f-ed3a53d2eeb7_Method">
    <vt:lpwstr>Standard</vt:lpwstr>
  </property>
  <property fmtid="{D5CDD505-2E9C-101B-9397-08002B2CF9AE}" pid="12" name="MSIP_Label_8caabacf-b917-4a45-9a5f-ed3a53d2eeb7_Name">
    <vt:lpwstr>Anyone - No Protection</vt:lpwstr>
  </property>
  <property fmtid="{D5CDD505-2E9C-101B-9397-08002B2CF9AE}" pid="13" name="MSIP_Label_8caabacf-b917-4a45-9a5f-ed3a53d2eeb7_SiteId">
    <vt:lpwstr>0804c951-93a0-405d-80e4-fa87c7551d6a</vt:lpwstr>
  </property>
  <property fmtid="{D5CDD505-2E9C-101B-9397-08002B2CF9AE}" pid="14" name="MSIP_Label_8caabacf-b917-4a45-9a5f-ed3a53d2eeb7_ActionId">
    <vt:lpwstr>7f15e8c0-b7e5-4a40-bff0-a822eea8f2ff</vt:lpwstr>
  </property>
  <property fmtid="{D5CDD505-2E9C-101B-9397-08002B2CF9AE}" pid="15" name="MSIP_Label_8caabacf-b917-4a45-9a5f-ed3a53d2eeb7_ContentBits">
    <vt:lpwstr>0</vt:lpwstr>
  </property>
  <property fmtid="{D5CDD505-2E9C-101B-9397-08002B2CF9AE}" pid="16" name="ContentTypeId">
    <vt:lpwstr>0x010100F1102CCBDEA29B4AADEDCF6C69CE370D</vt:lpwstr>
  </property>
</Properties>
</file>