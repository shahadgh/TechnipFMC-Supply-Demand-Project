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ahadalghamdi/Desktop/All My Scool Projects/TechnipFMC Supply&amp;Demand Project/SCM_PROJECT/"/>
    </mc:Choice>
  </mc:AlternateContent>
  <xr:revisionPtr revIDLastSave="0" documentId="13_ncr:1_{23FE56F3-8BBC-EC47-A81F-1605060C5570}" xr6:coauthVersionLast="47" xr6:coauthVersionMax="47" xr10:uidLastSave="{00000000-0000-0000-0000-000000000000}"/>
  <bookViews>
    <workbookView xWindow="0" yWindow="500" windowWidth="28800" windowHeight="16180" tabRatio="684" activeTab="5" xr2:uid="{00000000-000D-0000-FFFF-FFFF00000000}"/>
  </bookViews>
  <sheets>
    <sheet name="Exhibit 0 (Schedule)" sheetId="11" r:id="rId1"/>
    <sheet name="Exhibit 1 (Cost &amp; Capacity)" sheetId="1" r:id="rId2"/>
    <sheet name="Exhibit 2 (QSL)" sheetId="3" r:id="rId3"/>
    <sheet name="Exhibit 3 (Discounts)" sheetId="2" r:id="rId4"/>
    <sheet name="Exhibit 4 (SPI)" sheetId="4" r:id="rId5"/>
    <sheet name="Exhibit 5 (Bids)" sheetId="8" r:id="rId6"/>
    <sheet name="Sheet1" sheetId="12" r:id="rId7"/>
    <sheet name="Exhibit 6 (Transit Time)" sheetId="7" r:id="rId8"/>
  </sheets>
  <definedNames>
    <definedName name="_xlnm._FilterDatabase" localSheetId="2" hidden="1">'Exhibit 2 (QSL)'!$A$3:$H$3</definedName>
    <definedName name="_xlnm._FilterDatabase" localSheetId="5" hidden="1">'Exhibit 5 (Bids)'!$J$4:$L$4</definedName>
    <definedName name="_xlnm._FilterDatabase" localSheetId="6" hidden="1">Sheet1!$D$7:$U$18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4" l="1"/>
  <c r="T21" i="8" l="1"/>
  <c r="U21" i="8" s="1"/>
  <c r="T20" i="8"/>
  <c r="U20" i="8" s="1"/>
  <c r="G17" i="1" l="1"/>
  <c r="G16" i="1"/>
  <c r="F17" i="1"/>
  <c r="F16" i="1"/>
  <c r="E6" i="4"/>
  <c r="L6" i="4"/>
  <c r="H6" i="4"/>
  <c r="I6" i="4" s="1"/>
  <c r="J6" i="4" s="1"/>
  <c r="F6" i="4" l="1"/>
  <c r="M6" i="4" s="1"/>
</calcChain>
</file>

<file path=xl/sharedStrings.xml><?xml version="1.0" encoding="utf-8"?>
<sst xmlns="http://schemas.openxmlformats.org/spreadsheetml/2006/main" count="329" uniqueCount="123">
  <si>
    <t>Composite Valve Block</t>
  </si>
  <si>
    <t>Gate Valve</t>
  </si>
  <si>
    <t>Metal Seal</t>
  </si>
  <si>
    <t>Tubing Hanger</t>
  </si>
  <si>
    <t>Wing Blocks</t>
  </si>
  <si>
    <t>Machine</t>
  </si>
  <si>
    <t>#1</t>
  </si>
  <si>
    <t>#2</t>
  </si>
  <si>
    <t>Current Capacity</t>
  </si>
  <si>
    <t>Aditional Capacity Units</t>
  </si>
  <si>
    <t xml:space="preserve">Manufacturing Cost &amp; Capacity </t>
  </si>
  <si>
    <t>Volume Discounts</t>
  </si>
  <si>
    <t>Category</t>
  </si>
  <si>
    <t>Machining</t>
  </si>
  <si>
    <t>Volume Discount Spend Levels</t>
  </si>
  <si>
    <t>Qualified Suppliers List</t>
  </si>
  <si>
    <t>Supplier</t>
  </si>
  <si>
    <t>Spend Based On Recipts Past 3 Months</t>
  </si>
  <si>
    <t>Spend Based On Recipts (Past 3 Months)</t>
  </si>
  <si>
    <t>HSE Recordable Incidents last 12 months</t>
  </si>
  <si>
    <t>QN last 12 months</t>
  </si>
  <si>
    <t>OTD% last 12 months</t>
  </si>
  <si>
    <t>SPI Calculator</t>
  </si>
  <si>
    <t>To calculate a supplier's SPI, you must enter the past 3 months aggregated spend, HSE recordable incidents for the last 12 months, QNs for the last 12 months, OTD % for the last 12 months, and the SPI will auto calculate in the red cell.</t>
  </si>
  <si>
    <t>HSE Points/$M</t>
  </si>
  <si>
    <t>HSE Points</t>
  </si>
  <si>
    <t>HSE SPI</t>
  </si>
  <si>
    <t>QN Points</t>
  </si>
  <si>
    <t>QN Points/$M</t>
  </si>
  <si>
    <t>QN SPI</t>
  </si>
  <si>
    <t>OTD SPI</t>
  </si>
  <si>
    <t>SPI</t>
  </si>
  <si>
    <t>Suppliers</t>
  </si>
  <si>
    <t>Bids</t>
  </si>
  <si>
    <t>Country</t>
  </si>
  <si>
    <t>US</t>
  </si>
  <si>
    <t>Brazil</t>
  </si>
  <si>
    <t>Unit Cost for Parts</t>
  </si>
  <si>
    <t>Notes</t>
  </si>
  <si>
    <r>
      <t>Part</t>
    </r>
    <r>
      <rPr>
        <vertAlign val="superscript"/>
        <sz val="12"/>
        <color theme="1"/>
        <rFont val="Calibri"/>
        <family val="2"/>
        <scheme val="minor"/>
      </rPr>
      <t>1</t>
    </r>
  </si>
  <si>
    <r>
      <rPr>
        <vertAlign val="superscript"/>
        <sz val="9"/>
        <color theme="1"/>
        <rFont val="Calibri"/>
        <family val="2"/>
        <scheme val="minor"/>
      </rPr>
      <t>1</t>
    </r>
    <r>
      <rPr>
        <sz val="9"/>
        <color theme="1"/>
        <rFont val="Calibri"/>
        <family val="2"/>
        <scheme val="minor"/>
      </rPr>
      <t>Due to the complexity of these parts these parts can only be manufactured on designated machines.</t>
    </r>
  </si>
  <si>
    <r>
      <rPr>
        <vertAlign val="superscript"/>
        <sz val="9"/>
        <color theme="1"/>
        <rFont val="Calibri"/>
        <family val="2"/>
        <scheme val="minor"/>
      </rPr>
      <t>2</t>
    </r>
    <r>
      <rPr>
        <sz val="9"/>
        <color theme="1"/>
        <rFont val="Calibri"/>
        <family val="2"/>
        <scheme val="minor"/>
      </rPr>
      <t>Direct material and labor represent 60% of the total cost of parts manufactured in house.</t>
    </r>
  </si>
  <si>
    <r>
      <rPr>
        <vertAlign val="superscript"/>
        <sz val="9"/>
        <color theme="1"/>
        <rFont val="Calibri"/>
        <family val="2"/>
        <scheme val="minor"/>
      </rPr>
      <t>3</t>
    </r>
    <r>
      <rPr>
        <sz val="9"/>
        <color theme="1"/>
        <rFont val="Calibri"/>
        <family val="2"/>
        <scheme val="minor"/>
      </rPr>
      <t xml:space="preserve">Projected volume represents current demand for these machines due to pre-exisitng projects. </t>
    </r>
  </si>
  <si>
    <r>
      <rPr>
        <vertAlign val="superscript"/>
        <sz val="9"/>
        <color theme="1"/>
        <rFont val="Calibri"/>
        <family val="2"/>
        <scheme val="minor"/>
      </rPr>
      <t>5</t>
    </r>
    <r>
      <rPr>
        <sz val="9"/>
        <color theme="1"/>
        <rFont val="Calibri"/>
        <family val="2"/>
        <scheme val="minor"/>
      </rPr>
      <t>Assume that lead time can be met as long as capacity remains.</t>
    </r>
  </si>
  <si>
    <r>
      <t>Lead Time</t>
    </r>
    <r>
      <rPr>
        <vertAlign val="superscript"/>
        <sz val="12"/>
        <color theme="1"/>
        <rFont val="Calibri"/>
        <family val="2"/>
        <scheme val="minor"/>
      </rPr>
      <t>5</t>
    </r>
  </si>
  <si>
    <t>SPI Constant</t>
  </si>
  <si>
    <t>*Lead times include weekends</t>
  </si>
  <si>
    <r>
      <rPr>
        <vertAlign val="superscript"/>
        <sz val="9"/>
        <color theme="1"/>
        <rFont val="Calibri"/>
        <family val="2"/>
        <scheme val="minor"/>
      </rPr>
      <t>4</t>
    </r>
    <r>
      <rPr>
        <sz val="9"/>
        <color theme="1"/>
        <rFont val="Calibri"/>
        <family val="2"/>
        <scheme val="minor"/>
      </rPr>
      <t>Investments in additional capacity include expanding current proudction and aquiring new manufacturing process.</t>
    </r>
    <r>
      <rPr>
        <vertAlign val="superscript"/>
        <sz val="9"/>
        <color theme="1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 xml:space="preserve">Additional capacity will be available as soon as investment is made. </t>
    </r>
  </si>
  <si>
    <t>Lead Time for Parts (Days)</t>
  </si>
  <si>
    <t>Greater than $3,000,000</t>
  </si>
  <si>
    <t>Greater than $6,000,000</t>
  </si>
  <si>
    <r>
      <t>Cost to Manufacture</t>
    </r>
    <r>
      <rPr>
        <vertAlign val="superscript"/>
        <sz val="12"/>
        <color theme="1"/>
        <rFont val="Calibri"/>
        <family val="2"/>
        <scheme val="minor"/>
      </rPr>
      <t>2</t>
    </r>
  </si>
  <si>
    <r>
      <t>Additional Capacity Cost</t>
    </r>
    <r>
      <rPr>
        <vertAlign val="superscript"/>
        <sz val="12"/>
        <color theme="1"/>
        <rFont val="Calibri"/>
        <family val="2"/>
        <scheme val="minor"/>
      </rPr>
      <t>4</t>
    </r>
  </si>
  <si>
    <t>China</t>
  </si>
  <si>
    <t>India</t>
  </si>
  <si>
    <t>Poland</t>
  </si>
  <si>
    <t>UK</t>
  </si>
  <si>
    <t>Italy</t>
  </si>
  <si>
    <t>France</t>
  </si>
  <si>
    <t>Transit Time and Cost</t>
  </si>
  <si>
    <t>To Manuf. Plant
SAM
Cost (% over Total Price)</t>
  </si>
  <si>
    <t>To Manuf. Plant
SAM
LT, Days</t>
  </si>
  <si>
    <t>Supplier 1</t>
  </si>
  <si>
    <t>Supplier 2</t>
  </si>
  <si>
    <t>Supplier 3</t>
  </si>
  <si>
    <t>Supplier 4</t>
  </si>
  <si>
    <t>Supplier 5</t>
  </si>
  <si>
    <t>Supplier 6</t>
  </si>
  <si>
    <t>Supplier 7</t>
  </si>
  <si>
    <t>Supplier 8</t>
  </si>
  <si>
    <t>Supplier 9</t>
  </si>
  <si>
    <t>Supplier 10</t>
  </si>
  <si>
    <t>Supplier 11</t>
  </si>
  <si>
    <t>From Region</t>
  </si>
  <si>
    <t>Europe</t>
  </si>
  <si>
    <t>North America</t>
  </si>
  <si>
    <t>South America</t>
  </si>
  <si>
    <t>Machine Location</t>
  </si>
  <si>
    <t>Malaysia</t>
  </si>
  <si>
    <t>Romania</t>
  </si>
  <si>
    <t>South American Plant</t>
  </si>
  <si>
    <t>Asia Pacific</t>
  </si>
  <si>
    <t>Singapore</t>
  </si>
  <si>
    <t>Load Sales Order</t>
  </si>
  <si>
    <t>Assemble 10 Trees</t>
  </si>
  <si>
    <t>Assemble 30 Trees</t>
  </si>
  <si>
    <t>CRITICALITY</t>
  </si>
  <si>
    <t>COMPONENT</t>
  </si>
  <si>
    <t>QTY</t>
  </si>
  <si>
    <t>1 ea</t>
  </si>
  <si>
    <t>2 ea</t>
  </si>
  <si>
    <t>5 ea</t>
  </si>
  <si>
    <t>Receive</t>
  </si>
  <si>
    <t>Mobilization Schedule</t>
  </si>
  <si>
    <t>Engineering Activities - Part on Hold</t>
  </si>
  <si>
    <t>Supplier Lead Time + Transit Time</t>
  </si>
  <si>
    <t>Supplier Lead Time + Transit Time + 30 Days for Criticality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</si>
  <si>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</si>
  <si>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</si>
  <si>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</si>
  <si>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</si>
  <si>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</si>
  <si>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</si>
  <si>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</si>
  <si>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</si>
  <si>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</si>
  <si>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</si>
  <si>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</si>
  <si>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</si>
  <si>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Able to Place PO</t>
  </si>
  <si>
    <r>
      <t>Projected 2024 Volume</t>
    </r>
    <r>
      <rPr>
        <vertAlign val="superscript"/>
        <sz val="12"/>
        <color theme="1"/>
        <rFont val="Calibri"/>
        <family val="2"/>
        <scheme val="minor"/>
      </rPr>
      <t>3</t>
    </r>
  </si>
  <si>
    <t>rating &gt;=8</t>
  </si>
  <si>
    <t xml:space="preserve">Require additional 30 days of lead time </t>
  </si>
  <si>
    <t>Pre-order</t>
  </si>
  <si>
    <t>Composite Valve Block*</t>
  </si>
  <si>
    <t>material and labor</t>
  </si>
  <si>
    <t>cost / part</t>
  </si>
  <si>
    <t>what is the capacity for each part?</t>
  </si>
  <si>
    <t>Too expensive compared to sourcing</t>
  </si>
  <si>
    <t>Too expensive compared to outsourcing</t>
  </si>
  <si>
    <t>HSE incident&gt;&gt; not result in damage, harm or injury. stand for Health and Safety Executive</t>
  </si>
  <si>
    <t>ON TIM DELIVERY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</si>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</sst>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#,##0"/>
    <numFmt numFmtId="166" formatCode="_(&quot;$&quot;* #,##0_);_(&quot;$&quot;* \(#,##0\);_(&quot;$&quot;* &quot;-&quot;??_);_(@_)"/>
    <numFmt numFmtId="167" formatCode="_(&quot;$&quot;* #,##0.0_);_(&quot;$&quot;* \(#,##0.0\);_(&quot;$&quot;* &quot;-&quot;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0" tint="-4.9989318521683403E-2"/>
      <name val="Arial Black"/>
      <family val="2"/>
    </font>
    <font>
      <b/>
      <sz val="20"/>
      <color theme="0" tint="-4.9989318521683403E-2"/>
      <name val="Impact"/>
      <family val="2"/>
    </font>
    <font>
      <sz val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3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221">
    <xf numFmtId="0" fontId="0" fillId="0" borderId="0" xfId="0"/>
    <xf numFmtId="0" fontId="0" fillId="0" borderId="4" xfId="0" applyBorder="1"/>
    <xf numFmtId="0" fontId="0" fillId="2" borderId="0" xfId="0" applyFill="1"/>
    <xf numFmtId="0" fontId="2" fillId="2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" fontId="0" fillId="0" borderId="4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3" fillId="4" borderId="3" xfId="0" applyNumberFormat="1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0" fillId="4" borderId="4" xfId="0" applyFill="1" applyBorder="1" applyProtection="1">
      <protection locked="0"/>
    </xf>
    <xf numFmtId="9" fontId="0" fillId="4" borderId="4" xfId="0" applyNumberFormat="1" applyFill="1" applyBorder="1" applyProtection="1">
      <protection locked="0"/>
    </xf>
    <xf numFmtId="2" fontId="0" fillId="3" borderId="5" xfId="0" applyNumberFormat="1" applyFill="1" applyBorder="1"/>
    <xf numFmtId="9" fontId="5" fillId="0" borderId="2" xfId="0" applyNumberFormat="1" applyFont="1" applyBorder="1" applyAlignment="1">
      <alignment horizontal="center"/>
    </xf>
    <xf numFmtId="9" fontId="5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16" fontId="0" fillId="2" borderId="0" xfId="0" applyNumberFormat="1" applyFill="1"/>
    <xf numFmtId="165" fontId="0" fillId="2" borderId="0" xfId="0" applyNumberFormat="1" applyFill="1"/>
    <xf numFmtId="0" fontId="8" fillId="0" borderId="7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/>
    </xf>
    <xf numFmtId="44" fontId="0" fillId="2" borderId="0" xfId="1" applyFont="1" applyFill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5" borderId="0" xfId="1" applyNumberFormat="1" applyFont="1" applyFill="1" applyBorder="1"/>
    <xf numFmtId="166" fontId="0" fillId="0" borderId="2" xfId="1" applyNumberFormat="1" applyFont="1" applyFill="1" applyBorder="1"/>
    <xf numFmtId="166" fontId="0" fillId="5" borderId="2" xfId="1" applyNumberFormat="1" applyFont="1" applyFill="1" applyBorder="1"/>
    <xf numFmtId="9" fontId="0" fillId="0" borderId="0" xfId="2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9" fontId="0" fillId="0" borderId="4" xfId="2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6" fontId="0" fillId="0" borderId="0" xfId="1" applyNumberFormat="1" applyFont="1" applyFill="1" applyBorder="1" applyAlignment="1">
      <alignment horizontal="center" vertical="center"/>
    </xf>
    <xf numFmtId="9" fontId="0" fillId="0" borderId="2" xfId="2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0" fillId="0" borderId="4" xfId="1" applyNumberFormat="1" applyFont="1" applyFill="1" applyBorder="1" applyAlignment="1">
      <alignment horizontal="center" vertical="center"/>
    </xf>
    <xf numFmtId="9" fontId="0" fillId="0" borderId="5" xfId="2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7" borderId="15" xfId="0" applyFont="1" applyFill="1" applyBorder="1" applyAlignment="1">
      <alignment horizontal="center" vertical="center" wrapText="1"/>
    </xf>
    <xf numFmtId="0" fontId="1" fillId="7" borderId="14" xfId="0" applyFont="1" applyFill="1" applyBorder="1" applyAlignment="1">
      <alignment horizontal="center" vertical="center" wrapText="1"/>
    </xf>
    <xf numFmtId="17" fontId="1" fillId="7" borderId="14" xfId="0" applyNumberFormat="1" applyFont="1" applyFill="1" applyBorder="1" applyAlignment="1">
      <alignment horizontal="center" vertical="center"/>
    </xf>
    <xf numFmtId="17" fontId="1" fillId="7" borderId="14" xfId="0" applyNumberFormat="1" applyFont="1" applyFill="1" applyBorder="1" applyAlignment="1">
      <alignment horizontal="center" vertical="center" wrapText="1"/>
    </xf>
    <xf numFmtId="0" fontId="1" fillId="11" borderId="14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/>
    </xf>
    <xf numFmtId="0" fontId="0" fillId="0" borderId="2" xfId="2" applyNumberFormat="1" applyFont="1" applyFill="1" applyBorder="1" applyAlignment="1">
      <alignment horizontal="center"/>
    </xf>
    <xf numFmtId="0" fontId="0" fillId="0" borderId="5" xfId="2" applyNumberFormat="1" applyFont="1" applyFill="1" applyBorder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1" fontId="0" fillId="0" borderId="2" xfId="1" applyNumberFormat="1" applyFont="1" applyFill="1" applyBorder="1" applyAlignment="1">
      <alignment horizontal="center"/>
    </xf>
    <xf numFmtId="1" fontId="0" fillId="5" borderId="0" xfId="1" applyNumberFormat="1" applyFont="1" applyFill="1" applyBorder="1" applyAlignment="1">
      <alignment horizontal="center"/>
    </xf>
    <xf numFmtId="1" fontId="0" fillId="0" borderId="4" xfId="1" applyNumberFormat="1" applyFont="1" applyFill="1" applyBorder="1" applyAlignment="1">
      <alignment horizontal="center"/>
    </xf>
    <xf numFmtId="1" fontId="0" fillId="5" borderId="4" xfId="1" applyNumberFormat="1" applyFont="1" applyFill="1" applyBorder="1" applyAlignment="1">
      <alignment horizontal="center"/>
    </xf>
    <xf numFmtId="1" fontId="0" fillId="5" borderId="5" xfId="1" applyNumberFormat="1" applyFont="1" applyFill="1" applyBorder="1" applyAlignment="1">
      <alignment horizontal="center"/>
    </xf>
    <xf numFmtId="0" fontId="1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1" fillId="12" borderId="14" xfId="0" applyFont="1" applyFill="1" applyBorder="1" applyAlignment="1">
      <alignment horizontal="center" vertical="center" wrapText="1"/>
    </xf>
    <xf numFmtId="164" fontId="0" fillId="0" borderId="4" xfId="0" applyNumberFormat="1" applyBorder="1"/>
    <xf numFmtId="0" fontId="1" fillId="0" borderId="31" xfId="0" applyFont="1" applyBorder="1" applyAlignment="1">
      <alignment horizontal="center" vertical="center" wrapText="1"/>
    </xf>
    <xf numFmtId="0" fontId="0" fillId="0" borderId="33" xfId="0" applyBorder="1" applyAlignment="1">
      <alignment horizontal="left"/>
    </xf>
    <xf numFmtId="1" fontId="0" fillId="0" borderId="34" xfId="1" applyNumberFormat="1" applyFont="1" applyFill="1" applyBorder="1" applyAlignment="1">
      <alignment horizontal="center"/>
    </xf>
    <xf numFmtId="1" fontId="0" fillId="5" borderId="34" xfId="1" applyNumberFormat="1" applyFont="1" applyFill="1" applyBorder="1" applyAlignment="1">
      <alignment horizontal="center"/>
    </xf>
    <xf numFmtId="0" fontId="0" fillId="0" borderId="35" xfId="0" applyBorder="1" applyAlignment="1">
      <alignment horizontal="left"/>
    </xf>
    <xf numFmtId="166" fontId="0" fillId="0" borderId="36" xfId="1" applyNumberFormat="1" applyFont="1" applyFill="1" applyBorder="1"/>
    <xf numFmtId="1" fontId="0" fillId="0" borderId="37" xfId="1" applyNumberFormat="1" applyFont="1" applyFill="1" applyBorder="1" applyAlignment="1">
      <alignment horizontal="center"/>
    </xf>
    <xf numFmtId="166" fontId="5" fillId="13" borderId="0" xfId="1" applyNumberFormat="1" applyFont="1" applyFill="1" applyBorder="1"/>
    <xf numFmtId="0" fontId="5" fillId="13" borderId="0" xfId="0" applyFont="1" applyFill="1" applyAlignment="1">
      <alignment horizontal="center"/>
    </xf>
    <xf numFmtId="166" fontId="5" fillId="13" borderId="4" xfId="1" applyNumberFormat="1" applyFont="1" applyFill="1" applyBorder="1"/>
    <xf numFmtId="0" fontId="5" fillId="13" borderId="4" xfId="0" applyFont="1" applyFill="1" applyBorder="1" applyAlignment="1">
      <alignment horizontal="center"/>
    </xf>
    <xf numFmtId="0" fontId="0" fillId="14" borderId="0" xfId="0" applyFill="1" applyAlignment="1">
      <alignment horizontal="center"/>
    </xf>
    <xf numFmtId="0" fontId="6" fillId="12" borderId="0" xfId="0" applyFont="1" applyFill="1" applyAlignment="1">
      <alignment horizontal="center"/>
    </xf>
    <xf numFmtId="0" fontId="6" fillId="12" borderId="4" xfId="0" applyFont="1" applyFill="1" applyBorder="1" applyAlignment="1">
      <alignment horizontal="center"/>
    </xf>
    <xf numFmtId="166" fontId="5" fillId="12" borderId="0" xfId="1" applyNumberFormat="1" applyFont="1" applyFill="1" applyBorder="1"/>
    <xf numFmtId="166" fontId="5" fillId="12" borderId="4" xfId="1" applyNumberFormat="1" applyFont="1" applyFill="1" applyBorder="1"/>
    <xf numFmtId="0" fontId="5" fillId="12" borderId="0" xfId="0" applyFont="1" applyFill="1" applyAlignment="1">
      <alignment horizontal="center"/>
    </xf>
    <xf numFmtId="0" fontId="5" fillId="12" borderId="4" xfId="0" applyFont="1" applyFill="1" applyBorder="1" applyAlignment="1">
      <alignment horizontal="center"/>
    </xf>
    <xf numFmtId="167" fontId="0" fillId="16" borderId="0" xfId="0" applyNumberFormat="1" applyFill="1"/>
    <xf numFmtId="167" fontId="0" fillId="16" borderId="36" xfId="0" applyNumberFormat="1" applyFill="1" applyBorder="1"/>
    <xf numFmtId="166" fontId="16" fillId="15" borderId="0" xfId="1" applyNumberFormat="1" applyFont="1" applyFill="1" applyBorder="1"/>
    <xf numFmtId="0" fontId="16" fillId="0" borderId="2" xfId="0" applyFont="1" applyBorder="1" applyAlignment="1">
      <alignment horizontal="center"/>
    </xf>
    <xf numFmtId="166" fontId="16" fillId="15" borderId="4" xfId="1" applyNumberFormat="1" applyFont="1" applyFill="1" applyBorder="1"/>
    <xf numFmtId="0" fontId="16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0" fillId="14" borderId="12" xfId="0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167" fontId="0" fillId="16" borderId="4" xfId="0" applyNumberFormat="1" applyFill="1" applyBorder="1"/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left" vertical="center"/>
    </xf>
    <xf numFmtId="0" fontId="0" fillId="12" borderId="12" xfId="0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7" borderId="0" xfId="0" applyFill="1" applyAlignment="1">
      <alignment horizontal="center" vertical="center"/>
    </xf>
    <xf numFmtId="166" fontId="0" fillId="17" borderId="0" xfId="1" applyNumberFormat="1" applyFont="1" applyFill="1" applyBorder="1" applyAlignment="1">
      <alignment horizontal="center" vertical="center"/>
    </xf>
    <xf numFmtId="9" fontId="0" fillId="17" borderId="2" xfId="2" applyFont="1" applyFill="1" applyBorder="1" applyAlignment="1">
      <alignment horizontal="center" vertical="center"/>
    </xf>
    <xf numFmtId="0" fontId="1" fillId="0" borderId="33" xfId="0" applyFont="1" applyBorder="1" applyAlignment="1">
      <alignment horizontal="left"/>
    </xf>
    <xf numFmtId="166" fontId="1" fillId="0" borderId="0" xfId="1" applyNumberFormat="1" applyFont="1" applyFill="1" applyBorder="1"/>
    <xf numFmtId="1" fontId="1" fillId="0" borderId="34" xfId="1" applyNumberFormat="1" applyFont="1" applyFill="1" applyBorder="1" applyAlignment="1">
      <alignment horizontal="center"/>
    </xf>
    <xf numFmtId="166" fontId="1" fillId="5" borderId="0" xfId="1" applyNumberFormat="1" applyFont="1" applyFill="1" applyBorder="1"/>
    <xf numFmtId="1" fontId="1" fillId="5" borderId="34" xfId="1" applyNumberFormat="1" applyFont="1" applyFill="1" applyBorder="1" applyAlignment="1">
      <alignment horizontal="center"/>
    </xf>
    <xf numFmtId="1" fontId="1" fillId="0" borderId="0" xfId="1" applyNumberFormat="1" applyFont="1" applyFill="1" applyBorder="1" applyAlignment="1">
      <alignment horizontal="center"/>
    </xf>
    <xf numFmtId="166" fontId="1" fillId="0" borderId="2" xfId="1" applyNumberFormat="1" applyFont="1" applyFill="1" applyBorder="1"/>
    <xf numFmtId="1" fontId="1" fillId="0" borderId="2" xfId="1" applyNumberFormat="1" applyFont="1" applyFill="1" applyBorder="1" applyAlignment="1">
      <alignment horizontal="center"/>
    </xf>
    <xf numFmtId="1" fontId="1" fillId="5" borderId="0" xfId="1" applyNumberFormat="1" applyFont="1" applyFill="1" applyBorder="1" applyAlignment="1">
      <alignment horizontal="center"/>
    </xf>
    <xf numFmtId="0" fontId="4" fillId="0" borderId="38" xfId="0" applyFont="1" applyBorder="1" applyAlignment="1">
      <alignment horizontal="center" vertical="center" wrapText="1"/>
    </xf>
    <xf numFmtId="0" fontId="17" fillId="0" borderId="41" xfId="0" applyFont="1" applyBorder="1" applyAlignment="1">
      <alignment horizontal="left"/>
    </xf>
    <xf numFmtId="0" fontId="4" fillId="0" borderId="3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17" fillId="18" borderId="9" xfId="0" applyFont="1" applyFill="1" applyBorder="1"/>
    <xf numFmtId="0" fontId="4" fillId="0" borderId="8" xfId="0" applyFont="1" applyBorder="1" applyAlignment="1">
      <alignment horizontal="center" vertical="center" wrapText="1"/>
    </xf>
    <xf numFmtId="166" fontId="1" fillId="0" borderId="11" xfId="1" applyNumberFormat="1" applyFont="1" applyFill="1" applyBorder="1"/>
    <xf numFmtId="1" fontId="1" fillId="0" borderId="13" xfId="1" applyNumberFormat="1" applyFont="1" applyFill="1" applyBorder="1" applyAlignment="1">
      <alignment horizontal="center"/>
    </xf>
    <xf numFmtId="166" fontId="1" fillId="5" borderId="1" xfId="1" applyNumberFormat="1" applyFont="1" applyFill="1" applyBorder="1"/>
    <xf numFmtId="1" fontId="1" fillId="5" borderId="2" xfId="1" applyNumberFormat="1" applyFont="1" applyFill="1" applyBorder="1" applyAlignment="1">
      <alignment horizontal="center"/>
    </xf>
    <xf numFmtId="166" fontId="0" fillId="5" borderId="1" xfId="1" applyNumberFormat="1" applyFont="1" applyFill="1" applyBorder="1"/>
    <xf numFmtId="1" fontId="0" fillId="5" borderId="2" xfId="1" applyNumberFormat="1" applyFont="1" applyFill="1" applyBorder="1" applyAlignment="1">
      <alignment horizontal="center"/>
    </xf>
    <xf numFmtId="166" fontId="0" fillId="0" borderId="1" xfId="1" applyNumberFormat="1" applyFont="1" applyFill="1" applyBorder="1"/>
    <xf numFmtId="166" fontId="1" fillId="0" borderId="1" xfId="1" applyNumberFormat="1" applyFont="1" applyFill="1" applyBorder="1"/>
    <xf numFmtId="166" fontId="0" fillId="5" borderId="3" xfId="1" applyNumberFormat="1" applyFont="1" applyFill="1" applyBorder="1"/>
    <xf numFmtId="166" fontId="0" fillId="0" borderId="3" xfId="1" applyNumberFormat="1" applyFont="1" applyFill="1" applyBorder="1"/>
    <xf numFmtId="1" fontId="0" fillId="0" borderId="5" xfId="1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left"/>
    </xf>
    <xf numFmtId="0" fontId="0" fillId="0" borderId="41" xfId="0" applyBorder="1" applyAlignment="1">
      <alignment horizontal="left"/>
    </xf>
    <xf numFmtId="166" fontId="0" fillId="0" borderId="1" xfId="0" applyNumberFormat="1" applyBorder="1"/>
    <xf numFmtId="1" fontId="0" fillId="0" borderId="2" xfId="0" applyNumberFormat="1" applyBorder="1" applyAlignment="1">
      <alignment horizontal="center"/>
    </xf>
    <xf numFmtId="0" fontId="0" fillId="18" borderId="0" xfId="0" applyFill="1"/>
    <xf numFmtId="166" fontId="0" fillId="19" borderId="1" xfId="0" applyNumberFormat="1" applyFill="1" applyBorder="1"/>
    <xf numFmtId="1" fontId="0" fillId="19" borderId="2" xfId="0" applyNumberFormat="1" applyFill="1" applyBorder="1" applyAlignment="1">
      <alignment horizontal="center"/>
    </xf>
    <xf numFmtId="0" fontId="4" fillId="0" borderId="46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3" xfId="2" applyNumberFormat="1" applyFont="1" applyFill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166" fontId="1" fillId="0" borderId="1" xfId="0" applyNumberFormat="1" applyFont="1" applyBorder="1"/>
    <xf numFmtId="1" fontId="1" fillId="0" borderId="2" xfId="0" applyNumberFormat="1" applyFont="1" applyBorder="1" applyAlignment="1">
      <alignment horizontal="center"/>
    </xf>
    <xf numFmtId="166" fontId="0" fillId="0" borderId="3" xfId="0" applyNumberFormat="1" applyBorder="1"/>
    <xf numFmtId="1" fontId="0" fillId="0" borderId="5" xfId="0" applyNumberFormat="1" applyBorder="1" applyAlignment="1">
      <alignment horizontal="center"/>
    </xf>
    <xf numFmtId="0" fontId="0" fillId="0" borderId="38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42" xfId="0" applyBorder="1" applyAlignment="1">
      <alignment horizontal="left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5" fillId="9" borderId="21" xfId="0" applyFont="1" applyFill="1" applyBorder="1" applyAlignment="1">
      <alignment horizontal="center"/>
    </xf>
    <xf numFmtId="0" fontId="15" fillId="9" borderId="22" xfId="0" applyFont="1" applyFill="1" applyBorder="1" applyAlignment="1">
      <alignment horizontal="center"/>
    </xf>
    <xf numFmtId="0" fontId="15" fillId="9" borderId="23" xfId="0" applyFont="1" applyFill="1" applyBorder="1" applyAlignment="1">
      <alignment horizontal="center"/>
    </xf>
    <xf numFmtId="0" fontId="1" fillId="10" borderId="24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2" fillId="6" borderId="8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8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4" fillId="20" borderId="25" xfId="0" applyFont="1" applyFill="1" applyBorder="1" applyAlignment="1">
      <alignment horizontal="center" vertical="center" wrapText="1"/>
    </xf>
    <xf numFmtId="0" fontId="4" fillId="20" borderId="26" xfId="0" applyFont="1" applyFill="1" applyBorder="1" applyAlignment="1">
      <alignment horizontal="center" vertical="center" wrapText="1"/>
    </xf>
    <xf numFmtId="0" fontId="4" fillId="20" borderId="39" xfId="0" applyFont="1" applyFill="1" applyBorder="1" applyAlignment="1">
      <alignment horizontal="center" vertical="center" wrapText="1"/>
    </xf>
    <xf numFmtId="0" fontId="4" fillId="20" borderId="40" xfId="0" applyFont="1" applyFill="1" applyBorder="1" applyAlignment="1">
      <alignment horizontal="center" vertical="center" wrapText="1"/>
    </xf>
    <xf numFmtId="0" fontId="4" fillId="20" borderId="44" xfId="0" applyFont="1" applyFill="1" applyBorder="1" applyAlignment="1">
      <alignment horizontal="center" vertical="center" wrapText="1"/>
    </xf>
    <xf numFmtId="0" fontId="4" fillId="20" borderId="45" xfId="0" applyFont="1" applyFill="1" applyBorder="1" applyAlignment="1">
      <alignment horizontal="center" vertical="center" wrapText="1"/>
    </xf>
    <xf numFmtId="0" fontId="4" fillId="20" borderId="4" xfId="0" applyFont="1" applyFill="1" applyBorder="1" applyAlignment="1">
      <alignment horizontal="center" vertical="center" wrapText="1"/>
    </xf>
    <xf numFmtId="0" fontId="0" fillId="20" borderId="0" xfId="0" applyFill="1" applyAlignment="1">
      <alignment horizontal="center"/>
    </xf>
    <xf numFmtId="0" fontId="13" fillId="6" borderId="9" xfId="0" applyFont="1" applyFill="1" applyBorder="1" applyAlignment="1">
      <alignment horizontal="center"/>
    </xf>
    <xf numFmtId="0" fontId="13" fillId="6" borderId="10" xfId="0" applyFont="1" applyFill="1" applyBorder="1" applyAlignment="1">
      <alignment horizontal="center"/>
    </xf>
  </cellXfs>
  <cellStyles count="3">
    <cellStyle name="Currency" xfId="1" builtinId="4"/>
    <cellStyle name="Normal" xfId="0" builtinId="0"/>
    <cellStyle name="Per cent" xfId="2" builtinId="5"/>
  </cellStyles>
  <dxfs count="10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4127-9CD5-431C-929D-93A8E263AD18}">
  <dimension ref="B1:S11"/>
  <sheetViews>
    <sheetView topLeftCell="E1" zoomScale="107" zoomScaleNormal="85" workbookViewId="0">
      <selection activeCell="N1" sqref="N1:N1048576"/>
    </sheetView>
  </sheetViews>
  <sheetFormatPr baseColWidth="10" defaultColWidth="9.1640625" defaultRowHeight="15" x14ac:dyDescent="0.2"/>
  <cols>
    <col min="1" max="1" width="9.1640625" style="2"/>
    <col min="2" max="2" width="22.6640625" style="2" bestFit="1" customWidth="1"/>
    <col min="3" max="3" width="12.33203125" style="2" customWidth="1"/>
    <col min="4" max="4" width="5.1640625" style="2" bestFit="1" customWidth="1"/>
    <col min="5" max="5" width="19.1640625" style="21" customWidth="1"/>
    <col min="6" max="6" width="15.6640625" style="21" bestFit="1" customWidth="1"/>
    <col min="7" max="7" width="14.5" style="21" customWidth="1"/>
    <col min="8" max="8" width="14.5" style="2" customWidth="1"/>
    <col min="9" max="9" width="15.6640625" style="2" bestFit="1" customWidth="1"/>
    <col min="10" max="14" width="14.5" style="2" customWidth="1"/>
    <col min="15" max="15" width="15.1640625" style="2" customWidth="1"/>
    <col min="16" max="16" width="18.33203125" style="2" customWidth="1"/>
    <col min="17" max="18" width="14.5" style="2" customWidth="1"/>
    <col min="19" max="19" width="17.83203125" style="2" customWidth="1"/>
    <col min="20" max="16384" width="9.1640625" style="2"/>
  </cols>
  <sheetData>
    <row r="1" spans="2:19" ht="16" thickBot="1" x14ac:dyDescent="0.25"/>
    <row r="2" spans="2:19" ht="26" x14ac:dyDescent="0.3">
      <c r="B2" s="176" t="s">
        <v>93</v>
      </c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  <c r="O2" s="177"/>
      <c r="P2" s="177"/>
      <c r="Q2" s="177"/>
      <c r="R2" s="177"/>
      <c r="S2" s="178"/>
    </row>
    <row r="3" spans="2:19" ht="22" customHeight="1" x14ac:dyDescent="0.2">
      <c r="B3" s="57" t="s">
        <v>87</v>
      </c>
      <c r="C3" s="58" t="s">
        <v>86</v>
      </c>
      <c r="D3" s="58" t="s">
        <v>88</v>
      </c>
      <c r="E3" s="59" t="s">
        <v>97</v>
      </c>
      <c r="F3" s="60" t="s">
        <v>98</v>
      </c>
      <c r="G3" s="60" t="s">
        <v>99</v>
      </c>
      <c r="H3" s="59" t="s">
        <v>100</v>
      </c>
      <c r="I3" s="60" t="s">
        <v>101</v>
      </c>
      <c r="J3" s="60" t="s">
        <v>102</v>
      </c>
      <c r="K3" s="59" t="s">
        <v>103</v>
      </c>
      <c r="L3" s="60" t="s">
        <v>104</v>
      </c>
      <c r="M3" s="60" t="s">
        <v>105</v>
      </c>
      <c r="N3" s="59" t="s">
        <v>106</v>
      </c>
      <c r="O3" s="60" t="s">
        <v>107</v>
      </c>
      <c r="P3" s="60" t="s">
        <v>108</v>
      </c>
      <c r="Q3" s="59" t="s">
        <v>97</v>
      </c>
      <c r="R3" s="60" t="s">
        <v>98</v>
      </c>
      <c r="S3" s="60" t="s">
        <v>99</v>
      </c>
    </row>
    <row r="4" spans="2:19" ht="22" customHeight="1" x14ac:dyDescent="0.2">
      <c r="B4" s="56" t="s">
        <v>0</v>
      </c>
      <c r="C4" s="77">
        <v>10</v>
      </c>
      <c r="D4" s="55" t="s">
        <v>89</v>
      </c>
      <c r="E4" s="188" t="s">
        <v>83</v>
      </c>
      <c r="F4" s="61" t="s">
        <v>109</v>
      </c>
      <c r="G4" s="185" t="s">
        <v>96</v>
      </c>
      <c r="H4" s="186"/>
      <c r="I4" s="186"/>
      <c r="J4" s="186"/>
      <c r="K4" s="186"/>
      <c r="L4" s="186"/>
      <c r="M4" s="186"/>
      <c r="N4" s="187"/>
      <c r="O4" s="171" t="s">
        <v>92</v>
      </c>
      <c r="P4" s="190" t="s">
        <v>84</v>
      </c>
      <c r="Q4" s="62"/>
      <c r="R4" s="171" t="s">
        <v>92</v>
      </c>
      <c r="S4" s="174" t="s">
        <v>85</v>
      </c>
    </row>
    <row r="5" spans="2:19" ht="22" customHeight="1" x14ac:dyDescent="0.2">
      <c r="B5" s="56" t="s">
        <v>1</v>
      </c>
      <c r="C5" s="55">
        <v>7</v>
      </c>
      <c r="D5" s="55" t="s">
        <v>90</v>
      </c>
      <c r="E5" s="188"/>
      <c r="F5" s="179" t="s">
        <v>94</v>
      </c>
      <c r="G5" s="180"/>
      <c r="H5" s="181"/>
      <c r="I5" s="61" t="s">
        <v>109</v>
      </c>
      <c r="J5" s="185" t="s">
        <v>95</v>
      </c>
      <c r="K5" s="186"/>
      <c r="L5" s="186"/>
      <c r="M5" s="186"/>
      <c r="N5" s="187"/>
      <c r="O5" s="172"/>
      <c r="P5" s="190"/>
      <c r="Q5" s="62"/>
      <c r="R5" s="172"/>
      <c r="S5" s="174"/>
    </row>
    <row r="6" spans="2:19" ht="22" customHeight="1" x14ac:dyDescent="0.2">
      <c r="B6" s="56" t="s">
        <v>2</v>
      </c>
      <c r="C6" s="77">
        <v>8</v>
      </c>
      <c r="D6" s="55" t="s">
        <v>91</v>
      </c>
      <c r="E6" s="188"/>
      <c r="F6" s="61" t="s">
        <v>109</v>
      </c>
      <c r="G6" s="185" t="s">
        <v>96</v>
      </c>
      <c r="H6" s="186"/>
      <c r="I6" s="186"/>
      <c r="J6" s="186"/>
      <c r="K6" s="186"/>
      <c r="L6" s="186"/>
      <c r="M6" s="186"/>
      <c r="N6" s="187"/>
      <c r="O6" s="172"/>
      <c r="P6" s="190"/>
      <c r="Q6" s="62"/>
      <c r="R6" s="172"/>
      <c r="S6" s="174"/>
    </row>
    <row r="7" spans="2:19" ht="22" customHeight="1" x14ac:dyDescent="0.2">
      <c r="B7" s="56" t="s">
        <v>3</v>
      </c>
      <c r="C7" s="77">
        <v>10</v>
      </c>
      <c r="D7" s="55" t="s">
        <v>89</v>
      </c>
      <c r="E7" s="188"/>
      <c r="F7" s="61" t="s">
        <v>109</v>
      </c>
      <c r="G7" s="185" t="s">
        <v>96</v>
      </c>
      <c r="H7" s="186"/>
      <c r="I7" s="186"/>
      <c r="J7" s="186"/>
      <c r="K7" s="186"/>
      <c r="L7" s="186"/>
      <c r="M7" s="186"/>
      <c r="N7" s="187"/>
      <c r="O7" s="172"/>
      <c r="P7" s="190"/>
      <c r="Q7" s="62"/>
      <c r="R7" s="172"/>
      <c r="S7" s="174"/>
    </row>
    <row r="8" spans="2:19" ht="22" customHeight="1" thickBot="1" x14ac:dyDescent="0.25">
      <c r="B8" s="63" t="s">
        <v>4</v>
      </c>
      <c r="C8" s="64">
        <v>5</v>
      </c>
      <c r="D8" s="64" t="s">
        <v>90</v>
      </c>
      <c r="E8" s="189"/>
      <c r="F8" s="182" t="s">
        <v>94</v>
      </c>
      <c r="G8" s="183"/>
      <c r="H8" s="184"/>
      <c r="I8" s="61" t="s">
        <v>109</v>
      </c>
      <c r="J8" s="185" t="s">
        <v>95</v>
      </c>
      <c r="K8" s="186"/>
      <c r="L8" s="186"/>
      <c r="M8" s="186"/>
      <c r="N8" s="187"/>
      <c r="O8" s="173"/>
      <c r="P8" s="191"/>
      <c r="Q8" s="65"/>
      <c r="R8" s="173"/>
      <c r="S8" s="175"/>
    </row>
    <row r="9" spans="2:19" x14ac:dyDescent="0.2">
      <c r="F9" s="21" t="s">
        <v>113</v>
      </c>
      <c r="N9" s="21"/>
      <c r="O9" s="21"/>
      <c r="P9" s="21"/>
      <c r="Q9" s="21"/>
      <c r="R9" s="21"/>
      <c r="S9" s="21"/>
    </row>
    <row r="10" spans="2:19" x14ac:dyDescent="0.2">
      <c r="C10" s="2" t="s">
        <v>111</v>
      </c>
    </row>
    <row r="11" spans="2:19" x14ac:dyDescent="0.2">
      <c r="C11" t="s">
        <v>112</v>
      </c>
    </row>
  </sheetData>
  <mergeCells count="13">
    <mergeCell ref="R4:R8"/>
    <mergeCell ref="S4:S8"/>
    <mergeCell ref="B2:S2"/>
    <mergeCell ref="F5:H5"/>
    <mergeCell ref="F8:H8"/>
    <mergeCell ref="O4:O8"/>
    <mergeCell ref="G4:N4"/>
    <mergeCell ref="G6:N6"/>
    <mergeCell ref="E4:E8"/>
    <mergeCell ref="P4:P8"/>
    <mergeCell ref="G7:N7"/>
    <mergeCell ref="J5:N5"/>
    <mergeCell ref="J8:N8"/>
  </mergeCells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7"/>
  <sheetViews>
    <sheetView zoomScale="109" zoomScaleNormal="100" workbookViewId="0">
      <selection activeCell="D14" sqref="D14:H17"/>
    </sheetView>
  </sheetViews>
  <sheetFormatPr baseColWidth="10" defaultColWidth="9.1640625" defaultRowHeight="15" x14ac:dyDescent="0.2"/>
  <cols>
    <col min="1" max="1" width="6" style="2" customWidth="1"/>
    <col min="2" max="2" width="10.6640625" style="2" customWidth="1"/>
    <col min="3" max="3" width="21" style="2" bestFit="1" customWidth="1"/>
    <col min="4" max="4" width="22.5" style="2" bestFit="1" customWidth="1"/>
    <col min="5" max="5" width="22.6640625" style="2" bestFit="1" customWidth="1"/>
    <col min="6" max="6" width="27.33203125" style="2" bestFit="1" customWidth="1"/>
    <col min="7" max="7" width="16.5" style="2" bestFit="1" customWidth="1"/>
    <col min="8" max="8" width="25" style="2" bestFit="1" customWidth="1"/>
    <col min="9" max="9" width="23.6640625" style="2" bestFit="1" customWidth="1"/>
    <col min="10" max="11" width="11.5" style="2" bestFit="1" customWidth="1"/>
    <col min="12" max="12" width="12.5" style="2" bestFit="1" customWidth="1"/>
    <col min="13" max="16384" width="9.1640625" style="2"/>
  </cols>
  <sheetData>
    <row r="1" spans="2:12" ht="16" thickBot="1" x14ac:dyDescent="0.25"/>
    <row r="2" spans="2:12" ht="32" thickBot="1" x14ac:dyDescent="0.5">
      <c r="B2" s="192" t="s">
        <v>10</v>
      </c>
      <c r="C2" s="193"/>
      <c r="D2" s="193"/>
      <c r="E2" s="193"/>
      <c r="F2" s="193"/>
      <c r="G2" s="193"/>
      <c r="H2" s="193"/>
      <c r="I2" s="193"/>
      <c r="J2" s="194"/>
    </row>
    <row r="3" spans="2:12" s="21" customFormat="1" ht="18" customHeight="1" x14ac:dyDescent="0.2">
      <c r="B3" s="4" t="s">
        <v>5</v>
      </c>
      <c r="C3" s="25" t="s">
        <v>77</v>
      </c>
      <c r="D3" s="25" t="s">
        <v>39</v>
      </c>
      <c r="E3" s="25" t="s">
        <v>51</v>
      </c>
      <c r="F3" s="25" t="s">
        <v>110</v>
      </c>
      <c r="G3" s="25" t="s">
        <v>8</v>
      </c>
      <c r="H3" s="25" t="s">
        <v>52</v>
      </c>
      <c r="I3" s="25" t="s">
        <v>9</v>
      </c>
      <c r="J3" s="26" t="s">
        <v>44</v>
      </c>
    </row>
    <row r="4" spans="2:12" ht="14" customHeight="1" x14ac:dyDescent="0.2">
      <c r="B4" s="4" t="s">
        <v>6</v>
      </c>
      <c r="C4" s="25" t="s">
        <v>82</v>
      </c>
      <c r="D4" s="91" t="s">
        <v>0</v>
      </c>
      <c r="E4" s="93">
        <v>147340</v>
      </c>
      <c r="F4" s="25">
        <v>76</v>
      </c>
      <c r="G4" s="95">
        <v>100</v>
      </c>
      <c r="H4" s="86">
        <v>2000000</v>
      </c>
      <c r="I4" s="87">
        <v>50</v>
      </c>
      <c r="J4" s="26">
        <v>70</v>
      </c>
      <c r="K4" s="31"/>
      <c r="L4" s="31"/>
    </row>
    <row r="5" spans="2:12" ht="17" thickBot="1" x14ac:dyDescent="0.25">
      <c r="B5" s="41" t="s">
        <v>7</v>
      </c>
      <c r="C5" s="42" t="s">
        <v>80</v>
      </c>
      <c r="D5" s="92" t="s">
        <v>3</v>
      </c>
      <c r="E5" s="94">
        <v>145000</v>
      </c>
      <c r="F5" s="42">
        <v>72</v>
      </c>
      <c r="G5" s="96">
        <v>100</v>
      </c>
      <c r="H5" s="88">
        <v>1500000</v>
      </c>
      <c r="I5" s="89">
        <v>50</v>
      </c>
      <c r="J5" s="43">
        <v>68</v>
      </c>
      <c r="K5" s="31"/>
      <c r="L5" s="31"/>
    </row>
    <row r="6" spans="2:12" x14ac:dyDescent="0.2">
      <c r="B6" s="24" t="s">
        <v>38</v>
      </c>
      <c r="C6" s="24"/>
      <c r="D6" s="3"/>
    </row>
    <row r="7" spans="2:12" x14ac:dyDescent="0.2">
      <c r="B7" s="23" t="s">
        <v>40</v>
      </c>
      <c r="C7" s="23"/>
    </row>
    <row r="8" spans="2:12" x14ac:dyDescent="0.2">
      <c r="B8" s="23" t="s">
        <v>41</v>
      </c>
      <c r="C8" s="23"/>
    </row>
    <row r="9" spans="2:12" x14ac:dyDescent="0.2">
      <c r="B9" s="23" t="s">
        <v>42</v>
      </c>
      <c r="C9" s="23"/>
    </row>
    <row r="10" spans="2:12" x14ac:dyDescent="0.2">
      <c r="B10" s="23" t="s">
        <v>47</v>
      </c>
      <c r="C10" s="23"/>
    </row>
    <row r="11" spans="2:12" x14ac:dyDescent="0.2">
      <c r="B11" s="23" t="s">
        <v>43</v>
      </c>
      <c r="C11" s="23"/>
    </row>
    <row r="14" spans="2:12" x14ac:dyDescent="0.2">
      <c r="E14" s="2" t="s">
        <v>118</v>
      </c>
    </row>
    <row r="15" spans="2:12" ht="19" x14ac:dyDescent="0.2">
      <c r="D15" s="25" t="s">
        <v>39</v>
      </c>
      <c r="E15" s="25" t="s">
        <v>51</v>
      </c>
      <c r="F15" s="90" t="s">
        <v>115</v>
      </c>
      <c r="G15" s="90" t="s">
        <v>116</v>
      </c>
      <c r="H15" s="26" t="s">
        <v>44</v>
      </c>
    </row>
    <row r="16" spans="2:12" ht="16" x14ac:dyDescent="0.2">
      <c r="D16" s="91" t="s">
        <v>0</v>
      </c>
      <c r="E16" s="99">
        <v>147340</v>
      </c>
      <c r="F16" s="97">
        <f>E16*0.6</f>
        <v>88404</v>
      </c>
      <c r="G16" s="97">
        <f>E16-F16</f>
        <v>58936</v>
      </c>
      <c r="H16" s="100">
        <v>70</v>
      </c>
    </row>
    <row r="17" spans="4:8" ht="17" thickBot="1" x14ac:dyDescent="0.25">
      <c r="D17" s="92" t="s">
        <v>3</v>
      </c>
      <c r="E17" s="101">
        <v>145000</v>
      </c>
      <c r="F17" s="98">
        <f>E17*0.6</f>
        <v>87000</v>
      </c>
      <c r="G17" s="98">
        <f>E17-F17</f>
        <v>58000</v>
      </c>
      <c r="H17" s="102">
        <v>68</v>
      </c>
    </row>
  </sheetData>
  <mergeCells count="1">
    <mergeCell ref="B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7"/>
  <sheetViews>
    <sheetView zoomScale="125" zoomScaleNormal="80" workbookViewId="0">
      <selection activeCell="F3" sqref="F3:G14"/>
    </sheetView>
  </sheetViews>
  <sheetFormatPr baseColWidth="10" defaultColWidth="9.1640625" defaultRowHeight="15" x14ac:dyDescent="0.2"/>
  <cols>
    <col min="1" max="1" width="9.1640625" style="2"/>
    <col min="2" max="2" width="30.6640625" style="48" bestFit="1" customWidth="1"/>
    <col min="3" max="3" width="10.1640625" style="48" bestFit="1" customWidth="1"/>
    <col min="4" max="4" width="17" style="48" customWidth="1"/>
    <col min="5" max="5" width="13.5" style="48" bestFit="1" customWidth="1"/>
    <col min="6" max="6" width="19.1640625" style="48" customWidth="1"/>
    <col min="7" max="8" width="9.1640625" style="48"/>
    <col min="9" max="9" width="13.5" style="2" bestFit="1" customWidth="1"/>
    <col min="10" max="16384" width="9.1640625" style="2"/>
  </cols>
  <sheetData>
    <row r="1" spans="2:8" ht="15.75" customHeight="1" thickBot="1" x14ac:dyDescent="0.25"/>
    <row r="2" spans="2:8" ht="32.25" customHeight="1" thickBot="1" x14ac:dyDescent="0.25">
      <c r="B2" s="195" t="s">
        <v>15</v>
      </c>
      <c r="C2" s="196"/>
      <c r="D2" s="197"/>
      <c r="E2" s="197"/>
      <c r="F2" s="197"/>
      <c r="G2" s="197"/>
      <c r="H2" s="198"/>
    </row>
    <row r="3" spans="2:8" ht="48" x14ac:dyDescent="0.2">
      <c r="B3" s="44" t="s">
        <v>16</v>
      </c>
      <c r="C3" s="45" t="s">
        <v>34</v>
      </c>
      <c r="D3" s="45" t="s">
        <v>12</v>
      </c>
      <c r="E3" s="46" t="s">
        <v>18</v>
      </c>
      <c r="F3" s="46" t="s">
        <v>19</v>
      </c>
      <c r="G3" s="112" t="s">
        <v>20</v>
      </c>
      <c r="H3" s="47" t="s">
        <v>21</v>
      </c>
    </row>
    <row r="4" spans="2:8" x14ac:dyDescent="0.2">
      <c r="B4" s="115" t="s">
        <v>62</v>
      </c>
      <c r="C4" s="116" t="s">
        <v>78</v>
      </c>
      <c r="D4" s="116" t="s">
        <v>13</v>
      </c>
      <c r="E4" s="117">
        <v>2568214</v>
      </c>
      <c r="F4" s="116">
        <v>2</v>
      </c>
      <c r="G4" s="116">
        <v>1</v>
      </c>
      <c r="H4" s="118">
        <v>0.86</v>
      </c>
    </row>
    <row r="5" spans="2:8" x14ac:dyDescent="0.2">
      <c r="B5" s="115" t="s">
        <v>63</v>
      </c>
      <c r="C5" s="116" t="s">
        <v>79</v>
      </c>
      <c r="D5" s="116" t="s">
        <v>13</v>
      </c>
      <c r="E5" s="117">
        <v>6523521</v>
      </c>
      <c r="F5" s="116">
        <v>2</v>
      </c>
      <c r="G5" s="116">
        <v>2</v>
      </c>
      <c r="H5" s="118">
        <v>0.89</v>
      </c>
    </row>
    <row r="6" spans="2:8" x14ac:dyDescent="0.2">
      <c r="B6" s="32" t="s">
        <v>64</v>
      </c>
      <c r="C6" s="10" t="s">
        <v>56</v>
      </c>
      <c r="D6" s="10" t="s">
        <v>13</v>
      </c>
      <c r="E6" s="49">
        <v>1525685</v>
      </c>
      <c r="F6" s="10">
        <v>3</v>
      </c>
      <c r="G6" s="113">
        <v>2</v>
      </c>
      <c r="H6" s="50">
        <v>0.88</v>
      </c>
    </row>
    <row r="7" spans="2:8" x14ac:dyDescent="0.2">
      <c r="B7" s="32" t="s">
        <v>65</v>
      </c>
      <c r="C7" s="10" t="s">
        <v>35</v>
      </c>
      <c r="D7" s="10" t="s">
        <v>13</v>
      </c>
      <c r="E7" s="49">
        <v>3251526</v>
      </c>
      <c r="F7" s="10">
        <v>3</v>
      </c>
      <c r="G7" s="113">
        <v>5</v>
      </c>
      <c r="H7" s="50">
        <v>0.86</v>
      </c>
    </row>
    <row r="8" spans="2:8" x14ac:dyDescent="0.2">
      <c r="B8" s="32" t="s">
        <v>66</v>
      </c>
      <c r="C8" s="10" t="s">
        <v>58</v>
      </c>
      <c r="D8" s="10" t="s">
        <v>13</v>
      </c>
      <c r="E8" s="49">
        <v>1235895</v>
      </c>
      <c r="F8" s="10">
        <v>1</v>
      </c>
      <c r="G8" s="113">
        <v>2</v>
      </c>
      <c r="H8" s="50">
        <v>0.89</v>
      </c>
    </row>
    <row r="9" spans="2:8" x14ac:dyDescent="0.2">
      <c r="B9" s="115" t="s">
        <v>67</v>
      </c>
      <c r="C9" s="116" t="s">
        <v>55</v>
      </c>
      <c r="D9" s="116" t="s">
        <v>13</v>
      </c>
      <c r="E9" s="117">
        <v>4245856</v>
      </c>
      <c r="F9" s="116">
        <v>1</v>
      </c>
      <c r="G9" s="116">
        <v>2</v>
      </c>
      <c r="H9" s="118">
        <v>0.91</v>
      </c>
    </row>
    <row r="10" spans="2:8" x14ac:dyDescent="0.2">
      <c r="B10" s="115" t="s">
        <v>68</v>
      </c>
      <c r="C10" s="116" t="s">
        <v>36</v>
      </c>
      <c r="D10" s="116" t="s">
        <v>13</v>
      </c>
      <c r="E10" s="117">
        <v>3452685</v>
      </c>
      <c r="F10" s="116">
        <v>1</v>
      </c>
      <c r="G10" s="116">
        <v>3</v>
      </c>
      <c r="H10" s="118">
        <v>0.85</v>
      </c>
    </row>
    <row r="11" spans="2:8" x14ac:dyDescent="0.2">
      <c r="B11" s="32" t="s">
        <v>69</v>
      </c>
      <c r="C11" s="10" t="s">
        <v>53</v>
      </c>
      <c r="D11" s="10" t="s">
        <v>13</v>
      </c>
      <c r="E11" s="49">
        <v>2356856</v>
      </c>
      <c r="F11" s="10">
        <v>2</v>
      </c>
      <c r="G11" s="113">
        <v>4</v>
      </c>
      <c r="H11" s="50">
        <v>0.78</v>
      </c>
    </row>
    <row r="12" spans="2:8" x14ac:dyDescent="0.2">
      <c r="B12" s="115" t="s">
        <v>70</v>
      </c>
      <c r="C12" s="116" t="s">
        <v>57</v>
      </c>
      <c r="D12" s="116" t="s">
        <v>13</v>
      </c>
      <c r="E12" s="117">
        <v>2523851</v>
      </c>
      <c r="F12" s="116">
        <v>1</v>
      </c>
      <c r="G12" s="116">
        <v>2</v>
      </c>
      <c r="H12" s="118">
        <v>0.94</v>
      </c>
    </row>
    <row r="13" spans="2:8" x14ac:dyDescent="0.2">
      <c r="B13" s="115" t="s">
        <v>71</v>
      </c>
      <c r="C13" s="116" t="s">
        <v>54</v>
      </c>
      <c r="D13" s="116" t="s">
        <v>13</v>
      </c>
      <c r="E13" s="117">
        <v>4586521</v>
      </c>
      <c r="F13" s="116">
        <v>2</v>
      </c>
      <c r="G13" s="116">
        <v>2</v>
      </c>
      <c r="H13" s="118">
        <v>0.88</v>
      </c>
    </row>
    <row r="14" spans="2:8" ht="16" thickBot="1" x14ac:dyDescent="0.25">
      <c r="B14" s="51" t="s">
        <v>72</v>
      </c>
      <c r="C14" s="52" t="s">
        <v>36</v>
      </c>
      <c r="D14" s="52" t="s">
        <v>13</v>
      </c>
      <c r="E14" s="53">
        <v>2563542</v>
      </c>
      <c r="F14" s="52">
        <v>2</v>
      </c>
      <c r="G14" s="114">
        <v>4</v>
      </c>
      <c r="H14" s="54">
        <v>0.87</v>
      </c>
    </row>
    <row r="15" spans="2:8" x14ac:dyDescent="0.2">
      <c r="H15" s="111"/>
    </row>
    <row r="16" spans="2:8" x14ac:dyDescent="0.2">
      <c r="C16" s="2" t="s">
        <v>121</v>
      </c>
    </row>
    <row r="17" spans="3:5" x14ac:dyDescent="0.2">
      <c r="C17" s="111" t="s">
        <v>120</v>
      </c>
      <c r="E17" s="110"/>
    </row>
  </sheetData>
  <mergeCells count="1">
    <mergeCell ref="B2:H2"/>
  </mergeCells>
  <phoneticPr fontId="14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5"/>
  <sheetViews>
    <sheetView zoomScale="116" zoomScaleNormal="120" workbookViewId="0">
      <selection activeCell="B7" sqref="B7"/>
    </sheetView>
  </sheetViews>
  <sheetFormatPr baseColWidth="10" defaultColWidth="9.1640625" defaultRowHeight="15" x14ac:dyDescent="0.2"/>
  <cols>
    <col min="1" max="1" width="9.1640625" style="2"/>
    <col min="2" max="2" width="41.1640625" style="2" bestFit="1" customWidth="1"/>
    <col min="3" max="3" width="12.1640625" style="2" customWidth="1"/>
    <col min="4" max="16384" width="9.1640625" style="2"/>
  </cols>
  <sheetData>
    <row r="1" spans="2:3" ht="16" thickBot="1" x14ac:dyDescent="0.25"/>
    <row r="2" spans="2:3" ht="32" thickBot="1" x14ac:dyDescent="0.5">
      <c r="B2" s="192" t="s">
        <v>11</v>
      </c>
      <c r="C2" s="194"/>
    </row>
    <row r="3" spans="2:3" ht="16" x14ac:dyDescent="0.2">
      <c r="B3" s="4" t="s">
        <v>14</v>
      </c>
      <c r="C3" s="26" t="s">
        <v>13</v>
      </c>
    </row>
    <row r="4" spans="2:3" ht="20.25" customHeight="1" x14ac:dyDescent="0.2">
      <c r="B4" s="5" t="s">
        <v>49</v>
      </c>
      <c r="C4" s="17">
        <v>0.1</v>
      </c>
    </row>
    <row r="5" spans="2:3" ht="20.25" customHeight="1" thickBot="1" x14ac:dyDescent="0.25">
      <c r="B5" s="6" t="s">
        <v>50</v>
      </c>
      <c r="C5" s="18">
        <v>0.18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O11"/>
  <sheetViews>
    <sheetView zoomScale="110" zoomScaleNormal="110" workbookViewId="0">
      <selection activeCell="K12" sqref="K12"/>
    </sheetView>
  </sheetViews>
  <sheetFormatPr baseColWidth="10" defaultColWidth="9.1640625" defaultRowHeight="15" x14ac:dyDescent="0.2"/>
  <cols>
    <col min="1" max="1" width="5.33203125" style="2" customWidth="1"/>
    <col min="2" max="2" width="13.1640625" style="2" bestFit="1" customWidth="1"/>
    <col min="3" max="3" width="13.1640625" style="2" customWidth="1"/>
    <col min="4" max="4" width="9.1640625" style="2"/>
    <col min="5" max="5" width="12.1640625" style="2" customWidth="1"/>
    <col min="6" max="6" width="7.5" style="2" bestFit="1" customWidth="1"/>
    <col min="7" max="7" width="9.1640625" style="2"/>
    <col min="8" max="8" width="9.83203125" style="2" bestFit="1" customWidth="1"/>
    <col min="9" max="9" width="13.5" style="2" bestFit="1" customWidth="1"/>
    <col min="10" max="10" width="7" style="2" bestFit="1" customWidth="1"/>
    <col min="11" max="13" width="9.1640625" style="2"/>
    <col min="14" max="14" width="7.83203125" style="2" bestFit="1" customWidth="1"/>
    <col min="15" max="15" width="5.33203125" style="2" bestFit="1" customWidth="1"/>
    <col min="16" max="16384" width="9.1640625" style="2"/>
  </cols>
  <sheetData>
    <row r="1" spans="2:15" ht="16" thickBot="1" x14ac:dyDescent="0.25"/>
    <row r="2" spans="2:15" ht="32" thickBot="1" x14ac:dyDescent="0.5">
      <c r="B2" s="192" t="s">
        <v>22</v>
      </c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4"/>
      <c r="N2" s="29" t="s">
        <v>45</v>
      </c>
      <c r="O2" s="30">
        <v>0.6</v>
      </c>
    </row>
    <row r="3" spans="2:15" x14ac:dyDescent="0.2">
      <c r="B3" s="199" t="s">
        <v>23</v>
      </c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1"/>
    </row>
    <row r="4" spans="2:15" x14ac:dyDescent="0.2">
      <c r="B4" s="199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1"/>
    </row>
    <row r="5" spans="2:15" ht="48" x14ac:dyDescent="0.2">
      <c r="B5" s="8" t="s">
        <v>17</v>
      </c>
      <c r="C5" s="9" t="s">
        <v>19</v>
      </c>
      <c r="D5" s="9" t="s">
        <v>24</v>
      </c>
      <c r="E5" s="9" t="s">
        <v>25</v>
      </c>
      <c r="F5" s="9" t="s">
        <v>26</v>
      </c>
      <c r="G5" s="9" t="s">
        <v>20</v>
      </c>
      <c r="H5" s="10" t="s">
        <v>27</v>
      </c>
      <c r="I5" s="10" t="s">
        <v>28</v>
      </c>
      <c r="J5" s="10" t="s">
        <v>29</v>
      </c>
      <c r="K5" s="9" t="s">
        <v>21</v>
      </c>
      <c r="L5" s="10" t="s">
        <v>30</v>
      </c>
      <c r="M5" s="11" t="s">
        <v>31</v>
      </c>
    </row>
    <row r="6" spans="2:15" ht="16" thickBot="1" x14ac:dyDescent="0.25">
      <c r="B6" s="12">
        <v>2000000</v>
      </c>
      <c r="C6" s="13">
        <v>0</v>
      </c>
      <c r="D6" s="78">
        <f>E6/B6*1000000</f>
        <v>0</v>
      </c>
      <c r="E6" s="1">
        <f>C6*8</f>
        <v>0</v>
      </c>
      <c r="F6" s="7">
        <f>IF(D6&gt;40,66,D6/O2)/100</f>
        <v>0</v>
      </c>
      <c r="G6" s="14">
        <v>0</v>
      </c>
      <c r="H6" s="1">
        <f>G6*7</f>
        <v>0</v>
      </c>
      <c r="I6" s="7">
        <f>H6/B6*1000000</f>
        <v>0</v>
      </c>
      <c r="J6" s="7">
        <f>IF(I6&gt;40,66,I6/O2)/100</f>
        <v>0</v>
      </c>
      <c r="K6" s="15">
        <v>1</v>
      </c>
      <c r="L6" s="7">
        <f>(1-K6)/3</f>
        <v>0</v>
      </c>
      <c r="M6" s="16">
        <f>1+F6+J6+L6</f>
        <v>1</v>
      </c>
    </row>
    <row r="7" spans="2:15" x14ac:dyDescent="0.2">
      <c r="F7" s="28"/>
      <c r="L7" s="2" t="s">
        <v>121</v>
      </c>
    </row>
    <row r="8" spans="2:15" x14ac:dyDescent="0.2">
      <c r="L8" s="111" t="s">
        <v>120</v>
      </c>
    </row>
    <row r="9" spans="2:15" x14ac:dyDescent="0.2">
      <c r="M9" s="110"/>
    </row>
    <row r="11" spans="2:15" x14ac:dyDescent="0.2">
      <c r="G11" s="27"/>
    </row>
  </sheetData>
  <mergeCells count="2">
    <mergeCell ref="B2:M2"/>
    <mergeCell ref="B3:M4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6347-CEBB-4485-8B24-ED150344A6D4}">
  <dimension ref="B1:V29"/>
  <sheetViews>
    <sheetView tabSelected="1" topLeftCell="B2" zoomScale="117" zoomScaleNormal="100" workbookViewId="0">
      <selection activeCell="L15" sqref="L15"/>
    </sheetView>
  </sheetViews>
  <sheetFormatPr baseColWidth="10" defaultColWidth="9.1640625" defaultRowHeight="15" x14ac:dyDescent="0.2"/>
  <cols>
    <col min="1" max="1" width="6" style="2" customWidth="1"/>
    <col min="2" max="2" width="34.83203125" style="2" bestFit="1" customWidth="1"/>
    <col min="3" max="3" width="16.5" style="2" customWidth="1"/>
    <col min="4" max="4" width="13.5" style="2" bestFit="1" customWidth="1"/>
    <col min="5" max="5" width="12.33203125" style="2" bestFit="1" customWidth="1"/>
    <col min="6" max="6" width="12.1640625" style="2" bestFit="1" customWidth="1"/>
    <col min="7" max="7" width="0.33203125" style="2" customWidth="1"/>
    <col min="8" max="8" width="8.6640625" style="2" bestFit="1" customWidth="1"/>
    <col min="9" max="9" width="2.1640625" style="2" customWidth="1"/>
    <col min="10" max="10" width="24.1640625" style="2" customWidth="1"/>
    <col min="11" max="11" width="17.33203125" style="2" customWidth="1"/>
    <col min="12" max="12" width="21.1640625" style="2" customWidth="1"/>
    <col min="13" max="13" width="11.1640625" style="2" bestFit="1" customWidth="1"/>
    <col min="14" max="16" width="9.1640625" style="2"/>
    <col min="17" max="17" width="9" style="2" customWidth="1"/>
    <col min="18" max="18" width="19.83203125" style="2" bestFit="1" customWidth="1"/>
    <col min="19" max="19" width="16.5" style="2" customWidth="1"/>
    <col min="20" max="20" width="12.1640625" style="2" customWidth="1"/>
    <col min="21" max="21" width="11" style="2" customWidth="1"/>
    <col min="22" max="22" width="9.83203125" style="2" customWidth="1"/>
    <col min="23" max="16384" width="9.1640625" style="2"/>
  </cols>
  <sheetData>
    <row r="1" spans="2:20" ht="16" thickBot="1" x14ac:dyDescent="0.25"/>
    <row r="2" spans="2:20" ht="32" thickBot="1" x14ac:dyDescent="0.5">
      <c r="B2" s="192" t="s">
        <v>33</v>
      </c>
      <c r="C2" s="193"/>
      <c r="D2" s="193"/>
      <c r="E2" s="193"/>
      <c r="F2" s="193"/>
      <c r="G2" s="194"/>
      <c r="K2" s="2" t="s">
        <v>117</v>
      </c>
    </row>
    <row r="3" spans="2:20" ht="17" thickBot="1" x14ac:dyDescent="0.25">
      <c r="B3" s="205" t="s">
        <v>37</v>
      </c>
      <c r="C3" s="206"/>
      <c r="D3" s="206"/>
      <c r="E3" s="206"/>
      <c r="F3" s="206"/>
      <c r="G3" s="207"/>
      <c r="J3" s="202" t="s">
        <v>114</v>
      </c>
      <c r="K3" s="203"/>
      <c r="L3" s="204"/>
      <c r="N3" s="202" t="s">
        <v>1</v>
      </c>
      <c r="O3" s="203"/>
      <c r="P3" s="204"/>
      <c r="R3" s="202" t="s">
        <v>4</v>
      </c>
      <c r="S3" s="203"/>
      <c r="T3" s="204"/>
    </row>
    <row r="4" spans="2:20" s="22" customFormat="1" ht="161" thickBot="1" x14ac:dyDescent="0.25">
      <c r="B4" s="74" t="s">
        <v>32</v>
      </c>
      <c r="C4" s="75" t="s">
        <v>0</v>
      </c>
      <c r="D4" s="75" t="s">
        <v>1</v>
      </c>
      <c r="E4" s="75" t="s">
        <v>2</v>
      </c>
      <c r="F4" s="75" t="s">
        <v>3</v>
      </c>
      <c r="G4" s="76" t="s">
        <v>4</v>
      </c>
      <c r="H4" s="2"/>
      <c r="I4" s="2"/>
      <c r="J4" s="79" t="s">
        <v>32</v>
      </c>
      <c r="K4" s="75" t="s">
        <v>37</v>
      </c>
      <c r="L4" s="75" t="s">
        <v>48</v>
      </c>
      <c r="M4" s="2"/>
      <c r="N4" s="79" t="s">
        <v>32</v>
      </c>
      <c r="O4" s="75" t="s">
        <v>37</v>
      </c>
      <c r="P4" s="75" t="s">
        <v>48</v>
      </c>
      <c r="Q4" s="2"/>
      <c r="R4" s="79" t="s">
        <v>32</v>
      </c>
      <c r="S4" s="75" t="s">
        <v>37</v>
      </c>
      <c r="T4" s="75" t="s">
        <v>48</v>
      </c>
    </row>
    <row r="5" spans="2:20" x14ac:dyDescent="0.2">
      <c r="B5" s="20" t="s">
        <v>62</v>
      </c>
      <c r="C5" s="34">
        <v>82050</v>
      </c>
      <c r="D5" s="34">
        <v>39000</v>
      </c>
      <c r="E5" s="34">
        <v>3050</v>
      </c>
      <c r="F5" s="34">
        <v>87600</v>
      </c>
      <c r="G5" s="36">
        <v>7500</v>
      </c>
      <c r="J5" s="119" t="s">
        <v>62</v>
      </c>
      <c r="K5" s="120">
        <v>82050</v>
      </c>
      <c r="L5" s="121">
        <v>198</v>
      </c>
      <c r="N5" s="119" t="s">
        <v>62</v>
      </c>
      <c r="O5" s="120">
        <v>39000</v>
      </c>
      <c r="P5" s="124">
        <v>96</v>
      </c>
      <c r="R5" s="119" t="s">
        <v>62</v>
      </c>
      <c r="S5" s="125">
        <v>7500</v>
      </c>
      <c r="T5" s="126">
        <v>160</v>
      </c>
    </row>
    <row r="6" spans="2:20" x14ac:dyDescent="0.2">
      <c r="B6" s="20" t="s">
        <v>63</v>
      </c>
      <c r="C6" s="34">
        <v>80500</v>
      </c>
      <c r="D6" s="34">
        <v>31000</v>
      </c>
      <c r="E6" s="35"/>
      <c r="F6" s="34">
        <v>87050</v>
      </c>
      <c r="G6" s="36">
        <v>8600</v>
      </c>
      <c r="J6" s="119" t="s">
        <v>63</v>
      </c>
      <c r="K6" s="120">
        <v>80500</v>
      </c>
      <c r="L6" s="121">
        <v>200</v>
      </c>
      <c r="N6" s="119" t="s">
        <v>63</v>
      </c>
      <c r="O6" s="120">
        <v>31000</v>
      </c>
      <c r="P6" s="124">
        <v>100</v>
      </c>
      <c r="R6" s="119" t="s">
        <v>63</v>
      </c>
      <c r="S6" s="125">
        <v>8600</v>
      </c>
      <c r="T6" s="126">
        <v>125</v>
      </c>
    </row>
    <row r="7" spans="2:20" x14ac:dyDescent="0.2">
      <c r="B7" s="20" t="s">
        <v>64</v>
      </c>
      <c r="C7" s="34">
        <v>88560</v>
      </c>
      <c r="D7" s="34">
        <v>38420</v>
      </c>
      <c r="E7" s="35"/>
      <c r="F7" s="34">
        <v>83450</v>
      </c>
      <c r="G7" s="36">
        <v>8880</v>
      </c>
      <c r="J7" s="80" t="s">
        <v>64</v>
      </c>
      <c r="K7" s="34">
        <v>88560</v>
      </c>
      <c r="L7" s="81">
        <v>194</v>
      </c>
      <c r="N7" s="80" t="s">
        <v>64</v>
      </c>
      <c r="O7" s="34">
        <v>38420</v>
      </c>
      <c r="P7" s="68">
        <v>101</v>
      </c>
      <c r="R7" s="80" t="s">
        <v>64</v>
      </c>
      <c r="S7" s="36">
        <v>8880</v>
      </c>
      <c r="T7" s="69">
        <v>152</v>
      </c>
    </row>
    <row r="8" spans="2:20" x14ac:dyDescent="0.2">
      <c r="B8" s="20" t="s">
        <v>65</v>
      </c>
      <c r="C8" s="34">
        <v>88000</v>
      </c>
      <c r="D8" s="34">
        <v>33600</v>
      </c>
      <c r="E8" s="34">
        <v>4000</v>
      </c>
      <c r="F8" s="34">
        <v>85000</v>
      </c>
      <c r="G8" s="36">
        <v>9000</v>
      </c>
      <c r="J8" s="80" t="s">
        <v>65</v>
      </c>
      <c r="K8" s="34">
        <v>88000</v>
      </c>
      <c r="L8" s="81">
        <v>250</v>
      </c>
      <c r="N8" s="80" t="s">
        <v>65</v>
      </c>
      <c r="O8" s="34">
        <v>33600</v>
      </c>
      <c r="P8" s="68">
        <v>98</v>
      </c>
      <c r="R8" s="80" t="s">
        <v>65</v>
      </c>
      <c r="S8" s="36">
        <v>9000</v>
      </c>
      <c r="T8" s="69">
        <v>152</v>
      </c>
    </row>
    <row r="9" spans="2:20" x14ac:dyDescent="0.2">
      <c r="B9" s="20" t="s">
        <v>66</v>
      </c>
      <c r="C9" s="35"/>
      <c r="D9" s="34">
        <v>41000</v>
      </c>
      <c r="E9" s="34">
        <v>3900</v>
      </c>
      <c r="F9" s="35"/>
      <c r="G9" s="36">
        <v>8980</v>
      </c>
      <c r="J9" s="80" t="s">
        <v>66</v>
      </c>
      <c r="K9" s="35"/>
      <c r="L9" s="82"/>
      <c r="N9" s="80" t="s">
        <v>66</v>
      </c>
      <c r="O9" s="34">
        <v>41000</v>
      </c>
      <c r="P9" s="68">
        <v>107</v>
      </c>
      <c r="R9" s="80" t="s">
        <v>66</v>
      </c>
      <c r="S9" s="36">
        <v>8980</v>
      </c>
      <c r="T9" s="69">
        <v>139</v>
      </c>
    </row>
    <row r="10" spans="2:20" x14ac:dyDescent="0.2">
      <c r="B10" s="20" t="s">
        <v>67</v>
      </c>
      <c r="C10" s="35"/>
      <c r="D10" s="34">
        <v>32500</v>
      </c>
      <c r="E10" s="34">
        <v>3500</v>
      </c>
      <c r="F10" s="35"/>
      <c r="G10" s="36">
        <v>8325</v>
      </c>
      <c r="J10" s="119" t="s">
        <v>67</v>
      </c>
      <c r="K10" s="122"/>
      <c r="L10" s="123"/>
      <c r="N10" s="119" t="s">
        <v>67</v>
      </c>
      <c r="O10" s="120">
        <v>32500</v>
      </c>
      <c r="P10" s="124">
        <v>96</v>
      </c>
      <c r="R10" s="119" t="s">
        <v>67</v>
      </c>
      <c r="S10" s="125">
        <v>8325</v>
      </c>
      <c r="T10" s="126">
        <v>148</v>
      </c>
    </row>
    <row r="11" spans="2:20" x14ac:dyDescent="0.2">
      <c r="B11" s="20" t="s">
        <v>68</v>
      </c>
      <c r="C11" s="34">
        <v>92200</v>
      </c>
      <c r="D11" s="34">
        <v>36800</v>
      </c>
      <c r="E11" s="34">
        <v>3650</v>
      </c>
      <c r="F11" s="34">
        <v>86000</v>
      </c>
      <c r="G11" s="36">
        <v>10100</v>
      </c>
      <c r="J11" s="119" t="s">
        <v>68</v>
      </c>
      <c r="K11" s="120">
        <v>92200</v>
      </c>
      <c r="L11" s="121">
        <v>230</v>
      </c>
      <c r="N11" s="119" t="s">
        <v>68</v>
      </c>
      <c r="O11" s="120">
        <v>36800</v>
      </c>
      <c r="P11" s="124">
        <v>110</v>
      </c>
      <c r="R11" s="119" t="s">
        <v>68</v>
      </c>
      <c r="S11" s="125">
        <v>10100</v>
      </c>
      <c r="T11" s="126">
        <v>142</v>
      </c>
    </row>
    <row r="12" spans="2:20" x14ac:dyDescent="0.2">
      <c r="B12" s="20" t="s">
        <v>69</v>
      </c>
      <c r="C12" s="34">
        <v>74300</v>
      </c>
      <c r="D12" s="34">
        <v>28325</v>
      </c>
      <c r="E12" s="34">
        <v>2150</v>
      </c>
      <c r="F12" s="34">
        <v>81200</v>
      </c>
      <c r="G12" s="36">
        <v>8200</v>
      </c>
      <c r="J12" s="80" t="s">
        <v>69</v>
      </c>
      <c r="K12" s="34">
        <v>74300</v>
      </c>
      <c r="L12" s="81">
        <v>203</v>
      </c>
      <c r="N12" s="80" t="s">
        <v>69</v>
      </c>
      <c r="O12" s="34">
        <v>28325</v>
      </c>
      <c r="P12" s="68">
        <v>96</v>
      </c>
      <c r="R12" s="80" t="s">
        <v>69</v>
      </c>
      <c r="S12" s="36">
        <v>8200</v>
      </c>
      <c r="T12" s="69">
        <v>130</v>
      </c>
    </row>
    <row r="13" spans="2:20" x14ac:dyDescent="0.2">
      <c r="B13" s="20" t="s">
        <v>70</v>
      </c>
      <c r="C13" s="35"/>
      <c r="D13" s="34">
        <v>34450</v>
      </c>
      <c r="E13" s="34">
        <v>3940</v>
      </c>
      <c r="F13" s="35"/>
      <c r="G13" s="36">
        <v>8700</v>
      </c>
      <c r="J13" s="119" t="s">
        <v>70</v>
      </c>
      <c r="K13" s="122"/>
      <c r="L13" s="123"/>
      <c r="N13" s="119" t="s">
        <v>70</v>
      </c>
      <c r="O13" s="120">
        <v>34450</v>
      </c>
      <c r="P13" s="124">
        <v>112</v>
      </c>
      <c r="R13" s="119" t="s">
        <v>70</v>
      </c>
      <c r="S13" s="125">
        <v>8700</v>
      </c>
      <c r="T13" s="126">
        <v>139</v>
      </c>
    </row>
    <row r="14" spans="2:20" x14ac:dyDescent="0.2">
      <c r="B14" s="20" t="s">
        <v>71</v>
      </c>
      <c r="C14" s="35"/>
      <c r="D14" s="34">
        <v>25000</v>
      </c>
      <c r="E14" s="34">
        <v>1800</v>
      </c>
      <c r="F14" s="35"/>
      <c r="G14" s="36">
        <v>7350</v>
      </c>
      <c r="J14" s="119" t="s">
        <v>71</v>
      </c>
      <c r="K14" s="122"/>
      <c r="L14" s="123"/>
      <c r="N14" s="119" t="s">
        <v>71</v>
      </c>
      <c r="O14" s="120">
        <v>25000</v>
      </c>
      <c r="P14" s="124">
        <v>99</v>
      </c>
      <c r="R14" s="119" t="s">
        <v>71</v>
      </c>
      <c r="S14" s="125">
        <v>7350</v>
      </c>
      <c r="T14" s="126">
        <v>157</v>
      </c>
    </row>
    <row r="15" spans="2:20" ht="16" thickBot="1" x14ac:dyDescent="0.25">
      <c r="B15" s="20" t="s">
        <v>72</v>
      </c>
      <c r="C15" s="34">
        <v>95450</v>
      </c>
      <c r="D15" s="34">
        <v>37400</v>
      </c>
      <c r="E15" s="35"/>
      <c r="F15" s="34">
        <v>86900</v>
      </c>
      <c r="G15" s="37"/>
      <c r="J15" s="83" t="s">
        <v>72</v>
      </c>
      <c r="K15" s="84">
        <v>95450</v>
      </c>
      <c r="L15" s="85">
        <v>200</v>
      </c>
      <c r="N15" s="83" t="s">
        <v>72</v>
      </c>
      <c r="O15" s="34">
        <v>37400</v>
      </c>
      <c r="P15" s="71">
        <v>100</v>
      </c>
      <c r="R15" s="83" t="s">
        <v>72</v>
      </c>
      <c r="S15" s="37"/>
      <c r="T15" s="73"/>
    </row>
    <row r="16" spans="2:20" ht="17" thickBot="1" x14ac:dyDescent="0.25">
      <c r="B16" s="208" t="s">
        <v>48</v>
      </c>
      <c r="C16" s="209"/>
      <c r="D16" s="209"/>
      <c r="E16" s="209"/>
      <c r="F16" s="209"/>
      <c r="G16" s="210"/>
    </row>
    <row r="17" spans="2:22" ht="36" customHeight="1" thickBot="1" x14ac:dyDescent="0.25">
      <c r="B17" s="74" t="s">
        <v>32</v>
      </c>
      <c r="C17" s="75" t="s">
        <v>0</v>
      </c>
      <c r="D17" s="75" t="s">
        <v>1</v>
      </c>
      <c r="E17" s="75" t="s">
        <v>2</v>
      </c>
      <c r="F17" s="75" t="s">
        <v>3</v>
      </c>
      <c r="G17" s="76" t="s">
        <v>4</v>
      </c>
      <c r="J17" s="202" t="s">
        <v>2</v>
      </c>
      <c r="K17" s="203"/>
      <c r="L17" s="204"/>
      <c r="N17" s="202" t="s">
        <v>3</v>
      </c>
      <c r="O17" s="203"/>
      <c r="P17" s="204"/>
    </row>
    <row r="18" spans="2:22" ht="49" thickBot="1" x14ac:dyDescent="0.25">
      <c r="B18" s="20" t="s">
        <v>62</v>
      </c>
      <c r="C18" s="68">
        <v>198</v>
      </c>
      <c r="D18" s="68">
        <v>96</v>
      </c>
      <c r="E18" s="68">
        <v>89</v>
      </c>
      <c r="F18" s="68">
        <v>200</v>
      </c>
      <c r="G18" s="69">
        <v>160</v>
      </c>
      <c r="J18" s="79" t="s">
        <v>32</v>
      </c>
      <c r="K18" s="75" t="s">
        <v>37</v>
      </c>
      <c r="L18" s="75" t="s">
        <v>48</v>
      </c>
      <c r="N18" s="79" t="s">
        <v>32</v>
      </c>
      <c r="O18" s="75" t="s">
        <v>37</v>
      </c>
      <c r="P18" s="75" t="s">
        <v>48</v>
      </c>
      <c r="S18" s="2" t="s">
        <v>119</v>
      </c>
    </row>
    <row r="19" spans="2:22" ht="19" x14ac:dyDescent="0.2">
      <c r="B19" s="20" t="s">
        <v>63</v>
      </c>
      <c r="C19" s="68">
        <v>200</v>
      </c>
      <c r="D19" s="68">
        <v>100</v>
      </c>
      <c r="E19" s="70"/>
      <c r="F19" s="68">
        <v>190</v>
      </c>
      <c r="G19" s="69">
        <v>125</v>
      </c>
      <c r="J19" s="119" t="s">
        <v>62</v>
      </c>
      <c r="K19" s="120">
        <v>3050</v>
      </c>
      <c r="L19" s="124">
        <v>89</v>
      </c>
      <c r="N19" s="119" t="s">
        <v>62</v>
      </c>
      <c r="O19" s="120">
        <v>87600</v>
      </c>
      <c r="P19" s="124">
        <v>200</v>
      </c>
      <c r="R19" s="103" t="s">
        <v>39</v>
      </c>
      <c r="S19" s="104" t="s">
        <v>51</v>
      </c>
      <c r="T19" s="105" t="s">
        <v>115</v>
      </c>
      <c r="U19" s="105" t="s">
        <v>116</v>
      </c>
      <c r="V19" s="106" t="s">
        <v>44</v>
      </c>
    </row>
    <row r="20" spans="2:22" ht="16" x14ac:dyDescent="0.2">
      <c r="B20" s="20" t="s">
        <v>64</v>
      </c>
      <c r="C20" s="68">
        <v>194</v>
      </c>
      <c r="D20" s="68">
        <v>101</v>
      </c>
      <c r="E20" s="70"/>
      <c r="F20" s="68">
        <v>196</v>
      </c>
      <c r="G20" s="69">
        <v>152</v>
      </c>
      <c r="J20" s="119" t="s">
        <v>63</v>
      </c>
      <c r="K20" s="122"/>
      <c r="L20" s="127"/>
      <c r="N20" s="119" t="s">
        <v>63</v>
      </c>
      <c r="O20" s="120">
        <v>87050</v>
      </c>
      <c r="P20" s="124">
        <v>190</v>
      </c>
      <c r="R20" s="107" t="s">
        <v>0</v>
      </c>
      <c r="S20" s="99">
        <v>147340</v>
      </c>
      <c r="T20" s="97">
        <f>S20*0.6</f>
        <v>88404</v>
      </c>
      <c r="U20" s="97">
        <f>S20-T20</f>
        <v>58936</v>
      </c>
      <c r="V20" s="100">
        <v>70</v>
      </c>
    </row>
    <row r="21" spans="2:22" ht="17" thickBot="1" x14ac:dyDescent="0.25">
      <c r="B21" s="20" t="s">
        <v>65</v>
      </c>
      <c r="C21" s="68">
        <v>250</v>
      </c>
      <c r="D21" s="68">
        <v>98</v>
      </c>
      <c r="E21" s="68">
        <v>90</v>
      </c>
      <c r="F21" s="68">
        <v>195</v>
      </c>
      <c r="G21" s="69">
        <v>152</v>
      </c>
      <c r="J21" s="80" t="s">
        <v>64</v>
      </c>
      <c r="K21" s="35"/>
      <c r="L21" s="70"/>
      <c r="N21" s="80" t="s">
        <v>64</v>
      </c>
      <c r="O21" s="34">
        <v>83450</v>
      </c>
      <c r="P21" s="68">
        <v>196</v>
      </c>
      <c r="R21" s="108" t="s">
        <v>3</v>
      </c>
      <c r="S21" s="101">
        <v>145000</v>
      </c>
      <c r="T21" s="109">
        <f>S21*0.6</f>
        <v>87000</v>
      </c>
      <c r="U21" s="109">
        <f>S21-T21</f>
        <v>58000</v>
      </c>
      <c r="V21" s="102">
        <v>68</v>
      </c>
    </row>
    <row r="22" spans="2:22" x14ac:dyDescent="0.2">
      <c r="B22" s="20" t="s">
        <v>66</v>
      </c>
      <c r="C22" s="70"/>
      <c r="D22" s="68">
        <v>107</v>
      </c>
      <c r="E22" s="68">
        <v>96</v>
      </c>
      <c r="F22" s="70"/>
      <c r="G22" s="69">
        <v>139</v>
      </c>
      <c r="J22" s="80" t="s">
        <v>65</v>
      </c>
      <c r="K22" s="34">
        <v>4000</v>
      </c>
      <c r="L22" s="68">
        <v>90</v>
      </c>
      <c r="N22" s="80" t="s">
        <v>65</v>
      </c>
      <c r="O22" s="34">
        <v>85000</v>
      </c>
      <c r="P22" s="68">
        <v>195</v>
      </c>
    </row>
    <row r="23" spans="2:22" x14ac:dyDescent="0.2">
      <c r="B23" s="20" t="s">
        <v>67</v>
      </c>
      <c r="C23" s="70"/>
      <c r="D23" s="68">
        <v>96</v>
      </c>
      <c r="E23" s="68">
        <v>95</v>
      </c>
      <c r="F23" s="70"/>
      <c r="G23" s="69">
        <v>148</v>
      </c>
      <c r="J23" s="80" t="s">
        <v>66</v>
      </c>
      <c r="K23" s="34">
        <v>3900</v>
      </c>
      <c r="L23" s="68">
        <v>96</v>
      </c>
      <c r="N23" s="80" t="s">
        <v>66</v>
      </c>
      <c r="O23" s="35"/>
      <c r="P23" s="70"/>
    </row>
    <row r="24" spans="2:22" x14ac:dyDescent="0.2">
      <c r="B24" s="20" t="s">
        <v>68</v>
      </c>
      <c r="C24" s="68">
        <v>230</v>
      </c>
      <c r="D24" s="68">
        <v>110</v>
      </c>
      <c r="E24" s="68">
        <v>98</v>
      </c>
      <c r="F24" s="68">
        <v>198</v>
      </c>
      <c r="G24" s="69">
        <v>142</v>
      </c>
      <c r="J24" s="119" t="s">
        <v>67</v>
      </c>
      <c r="K24" s="120">
        <v>3500</v>
      </c>
      <c r="L24" s="124">
        <v>95</v>
      </c>
      <c r="N24" s="119" t="s">
        <v>67</v>
      </c>
      <c r="O24" s="122"/>
      <c r="P24" s="127"/>
    </row>
    <row r="25" spans="2:22" x14ac:dyDescent="0.2">
      <c r="B25" s="20" t="s">
        <v>69</v>
      </c>
      <c r="C25" s="68">
        <v>203</v>
      </c>
      <c r="D25" s="68">
        <v>96</v>
      </c>
      <c r="E25" s="68">
        <v>88</v>
      </c>
      <c r="F25" s="68">
        <v>197</v>
      </c>
      <c r="G25" s="69">
        <v>130</v>
      </c>
      <c r="J25" s="119" t="s">
        <v>68</v>
      </c>
      <c r="K25" s="120">
        <v>3650</v>
      </c>
      <c r="L25" s="124">
        <v>98</v>
      </c>
      <c r="N25" s="119" t="s">
        <v>68</v>
      </c>
      <c r="O25" s="120">
        <v>86000</v>
      </c>
      <c r="P25" s="124">
        <v>198</v>
      </c>
    </row>
    <row r="26" spans="2:22" x14ac:dyDescent="0.2">
      <c r="B26" s="20" t="s">
        <v>70</v>
      </c>
      <c r="C26" s="70"/>
      <c r="D26" s="68">
        <v>112</v>
      </c>
      <c r="E26" s="68">
        <v>99</v>
      </c>
      <c r="F26" s="70"/>
      <c r="G26" s="69">
        <v>139</v>
      </c>
      <c r="J26" s="80" t="s">
        <v>69</v>
      </c>
      <c r="K26" s="34">
        <v>2150</v>
      </c>
      <c r="L26" s="68">
        <v>88</v>
      </c>
      <c r="N26" s="80" t="s">
        <v>69</v>
      </c>
      <c r="O26" s="34">
        <v>81200</v>
      </c>
      <c r="P26" s="68">
        <v>197</v>
      </c>
    </row>
    <row r="27" spans="2:22" x14ac:dyDescent="0.2">
      <c r="B27" s="20" t="s">
        <v>71</v>
      </c>
      <c r="C27" s="70"/>
      <c r="D27" s="68">
        <v>99</v>
      </c>
      <c r="E27" s="68">
        <v>97</v>
      </c>
      <c r="F27" s="70"/>
      <c r="G27" s="69">
        <v>157</v>
      </c>
      <c r="J27" s="119" t="s">
        <v>70</v>
      </c>
      <c r="K27" s="120">
        <v>3940</v>
      </c>
      <c r="L27" s="124">
        <v>99</v>
      </c>
      <c r="N27" s="119" t="s">
        <v>70</v>
      </c>
      <c r="O27" s="122"/>
      <c r="P27" s="127"/>
    </row>
    <row r="28" spans="2:22" ht="16" thickBot="1" x14ac:dyDescent="0.25">
      <c r="B28" s="39" t="s">
        <v>72</v>
      </c>
      <c r="C28" s="71">
        <v>200</v>
      </c>
      <c r="D28" s="71">
        <v>100</v>
      </c>
      <c r="E28" s="72"/>
      <c r="F28" s="71">
        <v>198</v>
      </c>
      <c r="G28" s="73"/>
      <c r="J28" s="119" t="s">
        <v>71</v>
      </c>
      <c r="K28" s="120">
        <v>1800</v>
      </c>
      <c r="L28" s="124">
        <v>97</v>
      </c>
      <c r="N28" s="119" t="s">
        <v>71</v>
      </c>
      <c r="O28" s="122"/>
      <c r="P28" s="127"/>
    </row>
    <row r="29" spans="2:22" ht="16" thickBot="1" x14ac:dyDescent="0.25">
      <c r="B29" s="2" t="s">
        <v>46</v>
      </c>
      <c r="J29" s="83" t="s">
        <v>72</v>
      </c>
      <c r="K29" s="35"/>
      <c r="L29" s="72"/>
      <c r="N29" s="83" t="s">
        <v>72</v>
      </c>
      <c r="O29" s="34">
        <v>86900</v>
      </c>
      <c r="P29" s="71">
        <v>198</v>
      </c>
    </row>
  </sheetData>
  <autoFilter ref="J4:L4" xr:uid="{16836347-CEBB-4485-8B24-ED150344A6D4}"/>
  <mergeCells count="8">
    <mergeCell ref="N3:P3"/>
    <mergeCell ref="J17:L17"/>
    <mergeCell ref="N17:P17"/>
    <mergeCell ref="R3:T3"/>
    <mergeCell ref="B2:G2"/>
    <mergeCell ref="B3:G3"/>
    <mergeCell ref="B16:G16"/>
    <mergeCell ref="J3:L3"/>
  </mergeCells>
  <phoneticPr fontId="14" type="noConversion"/>
  <conditionalFormatting sqref="K5:K15">
    <cfRule type="top10" dxfId="9" priority="23" bottom="1" rank="2"/>
  </conditionalFormatting>
  <conditionalFormatting sqref="L5:L15">
    <cfRule type="top10" dxfId="8" priority="21" bottom="1" rank="3"/>
  </conditionalFormatting>
  <conditionalFormatting sqref="O5:O15">
    <cfRule type="top10" dxfId="7" priority="20" bottom="1" rank="3"/>
  </conditionalFormatting>
  <conditionalFormatting sqref="P5:P15">
    <cfRule type="top10" dxfId="6" priority="19" bottom="1" rank="3"/>
  </conditionalFormatting>
  <conditionalFormatting sqref="S5:S15">
    <cfRule type="top10" dxfId="5" priority="18" bottom="1" rank="3"/>
  </conditionalFormatting>
  <conditionalFormatting sqref="T5:T15">
    <cfRule type="top10" dxfId="4" priority="17" bottom="1" rank="3"/>
  </conditionalFormatting>
  <conditionalFormatting sqref="K19:K29">
    <cfRule type="top10" dxfId="3" priority="16" bottom="1" rank="3"/>
  </conditionalFormatting>
  <conditionalFormatting sqref="L19:L29">
    <cfRule type="top10" dxfId="2" priority="15" bottom="1" rank="3"/>
  </conditionalFormatting>
  <conditionalFormatting sqref="O19:O29">
    <cfRule type="top10" dxfId="1" priority="14" bottom="1" rank="3"/>
  </conditionalFormatting>
  <conditionalFormatting sqref="P19:P29">
    <cfRule type="top10" dxfId="0" priority="13" bottom="1" rank="3"/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D325B-27EF-604A-ABEA-974C3AD27ED2}">
  <dimension ref="D6:U18"/>
  <sheetViews>
    <sheetView topLeftCell="C2" zoomScale="116" workbookViewId="0">
      <selection activeCell="G10" sqref="G10"/>
    </sheetView>
  </sheetViews>
  <sheetFormatPr baseColWidth="10" defaultRowHeight="15" x14ac:dyDescent="0.2"/>
  <cols>
    <col min="8" max="8" width="15.6640625" bestFit="1" customWidth="1"/>
    <col min="9" max="9" width="10.83203125" hidden="1" customWidth="1"/>
    <col min="17" max="17" width="12.1640625" bestFit="1" customWidth="1"/>
  </cols>
  <sheetData>
    <row r="6" spans="4:21" ht="17" customHeight="1" thickBot="1" x14ac:dyDescent="0.25">
      <c r="D6" s="211" t="s">
        <v>114</v>
      </c>
      <c r="E6" s="212"/>
      <c r="F6" s="213"/>
      <c r="G6" s="214" t="s">
        <v>1</v>
      </c>
      <c r="H6" s="212"/>
      <c r="I6" s="213"/>
      <c r="J6" s="215" t="s">
        <v>4</v>
      </c>
      <c r="K6" s="216"/>
      <c r="L6" s="217" t="s">
        <v>2</v>
      </c>
      <c r="M6" s="217"/>
      <c r="N6" s="218" t="s">
        <v>3</v>
      </c>
      <c r="O6" s="218"/>
      <c r="P6" s="164"/>
    </row>
    <row r="7" spans="4:21" ht="81" thickBot="1" x14ac:dyDescent="0.25">
      <c r="D7" s="128" t="s">
        <v>32</v>
      </c>
      <c r="E7" s="130" t="s">
        <v>37</v>
      </c>
      <c r="F7" s="131" t="s">
        <v>48</v>
      </c>
      <c r="G7" s="130" t="s">
        <v>37</v>
      </c>
      <c r="H7" s="131" t="s">
        <v>48</v>
      </c>
      <c r="I7" s="133"/>
      <c r="J7" s="134" t="s">
        <v>37</v>
      </c>
      <c r="K7" s="131" t="s">
        <v>48</v>
      </c>
      <c r="L7" s="132" t="s">
        <v>37</v>
      </c>
      <c r="M7" s="153" t="s">
        <v>48</v>
      </c>
      <c r="N7" s="134" t="s">
        <v>37</v>
      </c>
      <c r="O7" s="75" t="s">
        <v>48</v>
      </c>
      <c r="P7" s="75" t="s">
        <v>34</v>
      </c>
      <c r="Q7" s="157" t="s">
        <v>122</v>
      </c>
      <c r="R7" s="158" t="s">
        <v>61</v>
      </c>
      <c r="S7" s="163" t="s">
        <v>21</v>
      </c>
      <c r="T7" s="167" t="s">
        <v>19</v>
      </c>
      <c r="U7" s="168" t="s">
        <v>20</v>
      </c>
    </row>
    <row r="8" spans="4:21" x14ac:dyDescent="0.2">
      <c r="D8" s="146" t="s">
        <v>67</v>
      </c>
      <c r="E8" s="159"/>
      <c r="F8" s="160"/>
      <c r="G8" s="159">
        <v>32500</v>
      </c>
      <c r="H8" s="160">
        <v>96</v>
      </c>
      <c r="J8" s="159">
        <v>8325</v>
      </c>
      <c r="K8" s="160">
        <v>148</v>
      </c>
      <c r="L8" s="135">
        <v>3500</v>
      </c>
      <c r="M8" s="136">
        <v>95</v>
      </c>
      <c r="N8" s="137"/>
      <c r="O8" s="127"/>
      <c r="P8" s="44" t="s">
        <v>55</v>
      </c>
      <c r="Q8" s="165" t="s">
        <v>74</v>
      </c>
      <c r="R8" s="156">
        <v>42</v>
      </c>
      <c r="S8" s="50">
        <v>0.94</v>
      </c>
      <c r="T8" s="32">
        <v>1</v>
      </c>
      <c r="U8" s="11">
        <v>2</v>
      </c>
    </row>
    <row r="9" spans="4:21" x14ac:dyDescent="0.2">
      <c r="D9" s="146" t="s">
        <v>68</v>
      </c>
      <c r="E9" s="159">
        <v>92200</v>
      </c>
      <c r="F9" s="160">
        <v>230</v>
      </c>
      <c r="G9" s="159">
        <v>36800</v>
      </c>
      <c r="H9" s="160">
        <v>110</v>
      </c>
      <c r="J9" s="159">
        <v>10100</v>
      </c>
      <c r="K9" s="160">
        <v>142</v>
      </c>
      <c r="L9" s="142">
        <v>3650</v>
      </c>
      <c r="M9" s="126">
        <v>98</v>
      </c>
      <c r="N9" s="142">
        <v>86000</v>
      </c>
      <c r="O9" s="124">
        <v>198</v>
      </c>
      <c r="P9" s="32" t="s">
        <v>36</v>
      </c>
      <c r="Q9" s="154" t="s">
        <v>76</v>
      </c>
      <c r="R9" s="66">
        <v>14</v>
      </c>
      <c r="S9" s="50">
        <v>0.91</v>
      </c>
      <c r="T9" s="32">
        <v>1</v>
      </c>
      <c r="U9" s="11">
        <v>2</v>
      </c>
    </row>
    <row r="10" spans="4:21" x14ac:dyDescent="0.2">
      <c r="D10" s="146" t="s">
        <v>62</v>
      </c>
      <c r="E10" s="159">
        <v>82050</v>
      </c>
      <c r="F10" s="160">
        <v>198</v>
      </c>
      <c r="G10" s="159">
        <v>39000</v>
      </c>
      <c r="H10" s="160">
        <v>96</v>
      </c>
      <c r="J10" s="159">
        <v>7500</v>
      </c>
      <c r="K10" s="160">
        <v>160</v>
      </c>
      <c r="L10" s="142">
        <v>3050</v>
      </c>
      <c r="M10" s="126">
        <v>89</v>
      </c>
      <c r="N10" s="142">
        <v>87600</v>
      </c>
      <c r="O10" s="124">
        <v>200</v>
      </c>
      <c r="P10" s="32" t="s">
        <v>78</v>
      </c>
      <c r="Q10" s="154" t="s">
        <v>81</v>
      </c>
      <c r="R10" s="66">
        <v>56</v>
      </c>
      <c r="S10" s="50">
        <v>0.89</v>
      </c>
      <c r="T10" s="32">
        <v>2</v>
      </c>
      <c r="U10" s="11">
        <v>2</v>
      </c>
    </row>
    <row r="11" spans="4:21" x14ac:dyDescent="0.2">
      <c r="D11" s="129" t="s">
        <v>69</v>
      </c>
      <c r="E11" s="148">
        <v>74300</v>
      </c>
      <c r="F11" s="149">
        <v>203</v>
      </c>
      <c r="G11" s="148">
        <v>28325</v>
      </c>
      <c r="H11" s="149">
        <v>96</v>
      </c>
      <c r="J11" s="148">
        <v>8200</v>
      </c>
      <c r="K11" s="149">
        <v>130</v>
      </c>
      <c r="L11" s="141">
        <v>2150</v>
      </c>
      <c r="M11" s="69">
        <v>88</v>
      </c>
      <c r="N11" s="141">
        <v>81200</v>
      </c>
      <c r="O11" s="68">
        <v>197</v>
      </c>
      <c r="P11" s="32" t="s">
        <v>53</v>
      </c>
      <c r="Q11" s="154" t="s">
        <v>81</v>
      </c>
      <c r="R11" s="66">
        <v>56</v>
      </c>
      <c r="S11" s="50">
        <v>0.89</v>
      </c>
      <c r="T11" s="32">
        <v>1</v>
      </c>
      <c r="U11" s="11">
        <v>2</v>
      </c>
    </row>
    <row r="12" spans="4:21" x14ac:dyDescent="0.2">
      <c r="D12" s="146" t="s">
        <v>63</v>
      </c>
      <c r="E12" s="159">
        <v>80500</v>
      </c>
      <c r="F12" s="160">
        <v>200</v>
      </c>
      <c r="G12" s="159">
        <v>31000</v>
      </c>
      <c r="H12" s="160">
        <v>100</v>
      </c>
      <c r="J12" s="159">
        <v>8600</v>
      </c>
      <c r="K12" s="160">
        <v>125</v>
      </c>
      <c r="L12" s="137"/>
      <c r="M12" s="138"/>
      <c r="N12" s="142">
        <v>87050</v>
      </c>
      <c r="O12" s="124">
        <v>190</v>
      </c>
      <c r="P12" s="32" t="s">
        <v>79</v>
      </c>
      <c r="Q12" s="155" t="s">
        <v>74</v>
      </c>
      <c r="R12" s="66">
        <v>42</v>
      </c>
      <c r="S12" s="50">
        <v>0.88</v>
      </c>
      <c r="T12" s="32">
        <v>3</v>
      </c>
      <c r="U12" s="11">
        <v>2</v>
      </c>
    </row>
    <row r="13" spans="4:21" x14ac:dyDescent="0.2">
      <c r="D13" s="146" t="s">
        <v>70</v>
      </c>
      <c r="E13" s="159"/>
      <c r="F13" s="160"/>
      <c r="G13" s="159">
        <v>34450</v>
      </c>
      <c r="H13" s="160">
        <v>112</v>
      </c>
      <c r="J13" s="159">
        <v>8700</v>
      </c>
      <c r="K13" s="160">
        <v>139</v>
      </c>
      <c r="L13" s="142">
        <v>3940</v>
      </c>
      <c r="M13" s="126">
        <v>99</v>
      </c>
      <c r="N13" s="137"/>
      <c r="O13" s="127"/>
      <c r="P13" s="32" t="s">
        <v>57</v>
      </c>
      <c r="Q13" s="155" t="s">
        <v>74</v>
      </c>
      <c r="R13" s="66">
        <v>42</v>
      </c>
      <c r="S13" s="50">
        <v>0.88</v>
      </c>
      <c r="T13" s="32">
        <v>2</v>
      </c>
      <c r="U13" s="11">
        <v>2</v>
      </c>
    </row>
    <row r="14" spans="4:21" x14ac:dyDescent="0.2">
      <c r="D14" s="146" t="s">
        <v>71</v>
      </c>
      <c r="E14" s="159"/>
      <c r="F14" s="160"/>
      <c r="G14" s="159">
        <v>25000</v>
      </c>
      <c r="H14" s="160">
        <v>99</v>
      </c>
      <c r="J14" s="159">
        <v>7350</v>
      </c>
      <c r="K14" s="160">
        <v>157</v>
      </c>
      <c r="L14" s="142">
        <v>1800</v>
      </c>
      <c r="M14" s="126">
        <v>97</v>
      </c>
      <c r="N14" s="137"/>
      <c r="O14" s="127"/>
      <c r="P14" s="32" t="s">
        <v>54</v>
      </c>
      <c r="Q14" s="154" t="s">
        <v>81</v>
      </c>
      <c r="R14" s="66">
        <v>56</v>
      </c>
      <c r="S14" s="50">
        <v>0.87</v>
      </c>
      <c r="T14" s="32">
        <v>2</v>
      </c>
      <c r="U14" s="11">
        <v>4</v>
      </c>
    </row>
    <row r="15" spans="4:21" x14ac:dyDescent="0.2">
      <c r="D15" s="129" t="s">
        <v>72</v>
      </c>
      <c r="E15" s="148">
        <v>95450</v>
      </c>
      <c r="F15" s="149">
        <v>200</v>
      </c>
      <c r="G15" s="148">
        <v>37400</v>
      </c>
      <c r="H15" s="149">
        <v>100</v>
      </c>
      <c r="I15" s="150"/>
      <c r="J15" s="151"/>
      <c r="K15" s="152"/>
      <c r="L15" s="139"/>
      <c r="M15" s="140"/>
      <c r="N15" s="141">
        <v>86900</v>
      </c>
      <c r="O15" s="68">
        <v>198</v>
      </c>
      <c r="P15" s="32" t="s">
        <v>36</v>
      </c>
      <c r="Q15" s="154" t="s">
        <v>76</v>
      </c>
      <c r="R15" s="66">
        <v>14</v>
      </c>
      <c r="S15" s="50">
        <v>0.86</v>
      </c>
      <c r="T15" s="32">
        <v>3</v>
      </c>
      <c r="U15" s="11">
        <v>5</v>
      </c>
    </row>
    <row r="16" spans="4:21" x14ac:dyDescent="0.2">
      <c r="D16" s="147" t="s">
        <v>64</v>
      </c>
      <c r="E16" s="148">
        <v>88560</v>
      </c>
      <c r="F16" s="149">
        <v>194</v>
      </c>
      <c r="G16" s="148">
        <v>38420</v>
      </c>
      <c r="H16" s="149">
        <v>101</v>
      </c>
      <c r="J16" s="148">
        <v>8880</v>
      </c>
      <c r="K16" s="149">
        <v>152</v>
      </c>
      <c r="L16" s="139"/>
      <c r="M16" s="140"/>
      <c r="N16" s="141">
        <v>83450</v>
      </c>
      <c r="O16" s="68">
        <v>196</v>
      </c>
      <c r="P16" s="32" t="s">
        <v>56</v>
      </c>
      <c r="Q16" s="155" t="s">
        <v>74</v>
      </c>
      <c r="R16" s="66">
        <v>42</v>
      </c>
      <c r="S16" s="50">
        <v>0.86</v>
      </c>
      <c r="T16" s="32">
        <v>2</v>
      </c>
      <c r="U16" s="11">
        <v>1</v>
      </c>
    </row>
    <row r="17" spans="4:21" x14ac:dyDescent="0.2">
      <c r="D17" s="147" t="s">
        <v>65</v>
      </c>
      <c r="E17" s="148">
        <v>88000</v>
      </c>
      <c r="F17" s="149">
        <v>250</v>
      </c>
      <c r="G17" s="148">
        <v>33600</v>
      </c>
      <c r="H17" s="149">
        <v>98</v>
      </c>
      <c r="J17" s="148">
        <v>9000</v>
      </c>
      <c r="K17" s="149">
        <v>152</v>
      </c>
      <c r="L17" s="141">
        <v>4000</v>
      </c>
      <c r="M17" s="69">
        <v>90</v>
      </c>
      <c r="N17" s="141">
        <v>85000</v>
      </c>
      <c r="O17" s="68">
        <v>195</v>
      </c>
      <c r="P17" s="32" t="s">
        <v>35</v>
      </c>
      <c r="Q17" s="155" t="s">
        <v>75</v>
      </c>
      <c r="R17" s="66">
        <v>28</v>
      </c>
      <c r="S17" s="50">
        <v>0.85</v>
      </c>
      <c r="T17" s="32">
        <v>1</v>
      </c>
      <c r="U17" s="11">
        <v>3</v>
      </c>
    </row>
    <row r="18" spans="4:21" ht="16" thickBot="1" x14ac:dyDescent="0.25">
      <c r="D18" s="170" t="s">
        <v>66</v>
      </c>
      <c r="E18" s="161"/>
      <c r="F18" s="162"/>
      <c r="G18" s="161">
        <v>41000</v>
      </c>
      <c r="H18" s="162">
        <v>107</v>
      </c>
      <c r="J18" s="161">
        <v>8980</v>
      </c>
      <c r="K18" s="162">
        <v>139</v>
      </c>
      <c r="L18" s="144">
        <v>3900</v>
      </c>
      <c r="M18" s="145">
        <v>96</v>
      </c>
      <c r="N18" s="143"/>
      <c r="O18" s="72"/>
      <c r="P18" s="51" t="s">
        <v>58</v>
      </c>
      <c r="Q18" s="169" t="s">
        <v>74</v>
      </c>
      <c r="R18" s="67">
        <v>42</v>
      </c>
      <c r="S18" s="54">
        <v>0.78</v>
      </c>
      <c r="T18" s="51">
        <v>2</v>
      </c>
      <c r="U18" s="166">
        <v>4</v>
      </c>
    </row>
  </sheetData>
  <autoFilter ref="D7:U18" xr:uid="{7EFD325B-27EF-604A-ABEA-974C3AD27ED2}">
    <sortState xmlns:xlrd2="http://schemas.microsoft.com/office/spreadsheetml/2017/richdata2" ref="D8:U18">
      <sortCondition descending="1" ref="S7:S18"/>
    </sortState>
  </autoFilter>
  <mergeCells count="5">
    <mergeCell ref="D6:F6"/>
    <mergeCell ref="G6:I6"/>
    <mergeCell ref="J6:K6"/>
    <mergeCell ref="L6:M6"/>
    <mergeCell ref="N6:O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7"/>
  <sheetViews>
    <sheetView zoomScale="125" zoomScaleNormal="80" workbookViewId="0">
      <selection activeCell="D3" sqref="D3:D7"/>
    </sheetView>
  </sheetViews>
  <sheetFormatPr baseColWidth="10" defaultColWidth="9.1640625" defaultRowHeight="15" x14ac:dyDescent="0.2"/>
  <cols>
    <col min="1" max="1" width="9.1640625" style="2"/>
    <col min="2" max="2" width="20.5" style="2" customWidth="1"/>
    <col min="3" max="4" width="24.83203125" style="2" bestFit="1" customWidth="1"/>
    <col min="5" max="5" width="13.5" style="2" bestFit="1" customWidth="1"/>
    <col min="6" max="16384" width="9.1640625" style="2"/>
  </cols>
  <sheetData>
    <row r="1" spans="2:4" ht="15.75" customHeight="1" thickBot="1" x14ac:dyDescent="0.25"/>
    <row r="2" spans="2:4" ht="32.25" customHeight="1" thickBot="1" x14ac:dyDescent="0.5">
      <c r="B2" s="192" t="s">
        <v>59</v>
      </c>
      <c r="C2" s="219"/>
      <c r="D2" s="220"/>
    </row>
    <row r="3" spans="2:4" ht="48" x14ac:dyDescent="0.2">
      <c r="B3" s="32" t="s">
        <v>73</v>
      </c>
      <c r="C3" s="9" t="s">
        <v>60</v>
      </c>
      <c r="D3" s="33" t="s">
        <v>61</v>
      </c>
    </row>
    <row r="4" spans="2:4" x14ac:dyDescent="0.2">
      <c r="B4" s="19" t="s">
        <v>74</v>
      </c>
      <c r="C4" s="38">
        <v>0.02</v>
      </c>
      <c r="D4" s="66">
        <v>42</v>
      </c>
    </row>
    <row r="5" spans="2:4" x14ac:dyDescent="0.2">
      <c r="B5" s="19" t="s">
        <v>75</v>
      </c>
      <c r="C5" s="38">
        <v>0.03</v>
      </c>
      <c r="D5" s="66">
        <v>28</v>
      </c>
    </row>
    <row r="6" spans="2:4" x14ac:dyDescent="0.2">
      <c r="B6" s="20" t="s">
        <v>76</v>
      </c>
      <c r="C6" s="38">
        <v>0.02</v>
      </c>
      <c r="D6" s="66">
        <v>14</v>
      </c>
    </row>
    <row r="7" spans="2:4" ht="16" thickBot="1" x14ac:dyDescent="0.25">
      <c r="B7" s="39" t="s">
        <v>81</v>
      </c>
      <c r="C7" s="40">
        <v>0.03</v>
      </c>
      <c r="D7" s="67">
        <v>56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02CCBDEA29B4AADEDCF6C69CE370D" ma:contentTypeVersion="10" ma:contentTypeDescription="Create a new document." ma:contentTypeScope="" ma:versionID="cfc8733a3c2b9a5e4ba747a111741ad6">
  <xsd:schema xmlns:xsd="http://www.w3.org/2001/XMLSchema" xmlns:xs="http://www.w3.org/2001/XMLSchema" xmlns:p="http://schemas.microsoft.com/office/2006/metadata/properties" xmlns:ns3="6954e57a-3fcf-4eff-83e6-61abe672a1d2" xmlns:ns4="5c51dbca-abbc-4645-ae5b-a0a58779d89a" targetNamespace="http://schemas.microsoft.com/office/2006/metadata/properties" ma:root="true" ma:fieldsID="9f3c307c932b26b2131795b305e271a8" ns3:_="" ns4:_="">
    <xsd:import namespace="6954e57a-3fcf-4eff-83e6-61abe672a1d2"/>
    <xsd:import namespace="5c51dbca-abbc-4645-ae5b-a0a58779d89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54e57a-3fcf-4eff-83e6-61abe672a1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Length (seconds)" ma:internalName="MediaLengthInSeconds" ma:readOnly="true">
      <xsd:simpleType>
        <xsd:restriction base="dms:Unknown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1dbca-abbc-4645-ae5b-a0a58779d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600D28-36BB-479F-B177-8E1B95340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54e57a-3fcf-4eff-83e6-61abe672a1d2"/>
    <ds:schemaRef ds:uri="5c51dbca-abbc-4645-ae5b-a0a58779d8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0E92DAC-AA12-4CCB-A28E-FB47122E768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546A51-D4A5-47ED-ACF3-877D22DD94FC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5c51dbca-abbc-4645-ae5b-a0a58779d89a"/>
    <ds:schemaRef ds:uri="6954e57a-3fcf-4eff-83e6-61abe672a1d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Exhibit 0 (Schedule)</vt:lpstr>
      <vt:lpstr>Exhibit 1 (Cost &amp; Capacity)</vt:lpstr>
      <vt:lpstr>Exhibit 2 (QSL)</vt:lpstr>
      <vt:lpstr>Exhibit 3 (Discounts)</vt:lpstr>
      <vt:lpstr>Exhibit 4 (SPI)</vt:lpstr>
      <vt:lpstr>Exhibit 5 (Bids)</vt:lpstr>
      <vt:lpstr>Sheet1</vt:lpstr>
      <vt:lpstr>Exhibit 6 (Transit Time)</vt:lpstr>
    </vt:vector>
  </TitlesOfParts>
  <Company>FMC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FMC Technology User</dc:creator>
  <cp:lastModifiedBy>Shahad Alghamdi</cp:lastModifiedBy>
  <dcterms:created xsi:type="dcterms:W3CDTF">2012-08-24T19:02:04Z</dcterms:created>
  <dcterms:modified xsi:type="dcterms:W3CDTF">2024-07-12T01:07:40Z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48b937-0ae3-46f5-b32e-f3232b5be847_Enabled">
    <vt:lpwstr>True</vt:lpwstr>
  </property>
  <property fmtid="{D5CDD505-2E9C-101B-9397-08002B2CF9AE}" pid="3" name="MSIP_Label_3b48b937-0ae3-46f5-b32e-f3232b5be847_SiteId">
    <vt:lpwstr>9179d01a-e94c-4488-b5f0-4554bc474f8c</vt:lpwstr>
  </property>
  <property fmtid="{D5CDD505-2E9C-101B-9397-08002B2CF9AE}" pid="4" name="MSIP_Label_3b48b937-0ae3-46f5-b32e-f3232b5be847_Owner">
    <vt:lpwstr>Michael.Morrissey@technipfmc.com</vt:lpwstr>
  </property>
  <property fmtid="{D5CDD505-2E9C-101B-9397-08002B2CF9AE}" pid="5" name="MSIP_Label_3b48b937-0ae3-46f5-b32e-f3232b5be847_SetDate">
    <vt:lpwstr>2019-10-21T15:11:11.8719862Z</vt:lpwstr>
  </property>
  <property fmtid="{D5CDD505-2E9C-101B-9397-08002B2CF9AE}" pid="6" name="MSIP_Label_3b48b937-0ae3-46f5-b32e-f3232b5be847_Name">
    <vt:lpwstr>General</vt:lpwstr>
  </property>
  <property fmtid="{D5CDD505-2E9C-101B-9397-08002B2CF9AE}" pid="7" name="MSIP_Label_3b48b937-0ae3-46f5-b32e-f3232b5be847_Application">
    <vt:lpwstr>Microsoft Azure Information Protection</vt:lpwstr>
  </property>
  <property fmtid="{D5CDD505-2E9C-101B-9397-08002B2CF9AE}" pid="8" name="MSIP_Label_3b48b937-0ae3-46f5-b32e-f3232b5be847_Extended_MSFT_Method">
    <vt:lpwstr>Automatic</vt:lpwstr>
  </property>
  <property fmtid="{D5CDD505-2E9C-101B-9397-08002B2CF9AE}" pid="9" name="MSIP_Label_8caabacf-b917-4a45-9a5f-ed3a53d2eeb7_Enabled">
    <vt:lpwstr>true</vt:lpwstr>
  </property>
  <property fmtid="{D5CDD505-2E9C-101B-9397-08002B2CF9AE}" pid="10" name="MSIP_Label_8caabacf-b917-4a45-9a5f-ed3a53d2eeb7_SetDate">
    <vt:lpwstr>2021-10-13T18:49:42Z</vt:lpwstr>
  </property>
  <property fmtid="{D5CDD505-2E9C-101B-9397-08002B2CF9AE}" pid="11" name="MSIP_Label_8caabacf-b917-4a45-9a5f-ed3a53d2eeb7_Method">
    <vt:lpwstr>Standard</vt:lpwstr>
  </property>
  <property fmtid="{D5CDD505-2E9C-101B-9397-08002B2CF9AE}" pid="12" name="MSIP_Label_8caabacf-b917-4a45-9a5f-ed3a53d2eeb7_Name">
    <vt:lpwstr>Anyone - No Protection</vt:lpwstr>
  </property>
  <property fmtid="{D5CDD505-2E9C-101B-9397-08002B2CF9AE}" pid="13" name="MSIP_Label_8caabacf-b917-4a45-9a5f-ed3a53d2eeb7_SiteId">
    <vt:lpwstr>0804c951-93a0-405d-80e4-fa87c7551d6a</vt:lpwstr>
  </property>
  <property fmtid="{D5CDD505-2E9C-101B-9397-08002B2CF9AE}" pid="14" name="MSIP_Label_8caabacf-b917-4a45-9a5f-ed3a53d2eeb7_ActionId">
    <vt:lpwstr>7f15e8c0-b7e5-4a40-bff0-a822eea8f2ff</vt:lpwstr>
  </property>
  <property fmtid="{D5CDD505-2E9C-101B-9397-08002B2CF9AE}" pid="15" name="MSIP_Label_8caabacf-b917-4a45-9a5f-ed3a53d2eeb7_ContentBits">
    <vt:lpwstr>0</vt:lpwstr>
  </property>
  <property fmtid="{D5CDD505-2E9C-101B-9397-08002B2CF9AE}" pid="16" name="ContentTypeId">
    <vt:lpwstr>0x010100F1102CCBDEA29B4AADEDCF6C69CE370D</vt:lpwstr>
  </property>
</Properties>
</file>